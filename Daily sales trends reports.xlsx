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60" windowWidth="20115" windowHeight="8265" activeTab="3"/>
  </bookViews>
  <sheets>
    <sheet name="Pivot Sheet" sheetId="5" r:id="rId1"/>
    <sheet name="Pivot and chart" sheetId="13" r:id="rId2"/>
    <sheet name="Data sheet" sheetId="2" r:id="rId3"/>
    <sheet name="Report" sheetId="9" r:id="rId4"/>
  </sheets>
  <definedNames>
    <definedName name="_xlnm._FilterDatabase" localSheetId="2" hidden="1">'Data sheet'!$A$1:$O$51</definedName>
    <definedName name="Slicer_Region">#N/A</definedName>
  </definedNames>
  <calcPr calcId="144525"/>
  <pivotCaches>
    <pivotCache cacheId="0" r:id="rId5"/>
    <pivotCache cacheId="1" r:id="rId6"/>
    <pivotCache cacheId="2" r:id="rId7"/>
    <pivotCache cacheId="3"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Q3" i="2" l="1"/>
  <c r="K52" i="2"/>
  <c r="Q13" i="2"/>
  <c r="Q9" i="2"/>
  <c r="Q6" i="2"/>
</calcChain>
</file>

<file path=xl/sharedStrings.xml><?xml version="1.0" encoding="utf-8"?>
<sst xmlns="http://schemas.openxmlformats.org/spreadsheetml/2006/main" count="316" uniqueCount="161">
  <si>
    <t>Total Revenue</t>
  </si>
  <si>
    <t>Order_id</t>
  </si>
  <si>
    <t>Order_date</t>
  </si>
  <si>
    <t>Customer_id</t>
  </si>
  <si>
    <t>City</t>
  </si>
  <si>
    <t>Region</t>
  </si>
  <si>
    <t>Product_id</t>
  </si>
  <si>
    <t>Quantity</t>
  </si>
  <si>
    <t>Price</t>
  </si>
  <si>
    <t>Total Quantity</t>
  </si>
  <si>
    <t>Total orders</t>
  </si>
  <si>
    <t>Average Order value</t>
  </si>
  <si>
    <t>% Contributions</t>
  </si>
  <si>
    <t>Bengaluru</t>
  </si>
  <si>
    <t>Karnataka</t>
  </si>
  <si>
    <t>1249.75</t>
  </si>
  <si>
    <t>1.19%</t>
  </si>
  <si>
    <t>Mumbai</t>
  </si>
  <si>
    <t>Maharashtra</t>
  </si>
  <si>
    <t>7.64%</t>
  </si>
  <si>
    <t>Delhi</t>
  </si>
  <si>
    <t>18.13%</t>
  </si>
  <si>
    <t>Hyderabad</t>
  </si>
  <si>
    <t>Telangana</t>
  </si>
  <si>
    <t>4.53%</t>
  </si>
  <si>
    <t>Chennai</t>
  </si>
  <si>
    <t>Tamil Nadu</t>
  </si>
  <si>
    <t>9199.8</t>
  </si>
  <si>
    <t>10.98%</t>
  </si>
  <si>
    <t>Pune</t>
  </si>
  <si>
    <t>1948.5</t>
  </si>
  <si>
    <t>0.93%</t>
  </si>
  <si>
    <t>Ahmedabad</t>
  </si>
  <si>
    <t>Gujarat</t>
  </si>
  <si>
    <t>1.67%</t>
  </si>
  <si>
    <t>Jaipur</t>
  </si>
  <si>
    <t>Rajasthan</t>
  </si>
  <si>
    <t>7249.75</t>
  </si>
  <si>
    <t>6.92%</t>
  </si>
  <si>
    <t>Kolkata</t>
  </si>
  <si>
    <t>West Bengal</t>
  </si>
  <si>
    <t>7.87%</t>
  </si>
  <si>
    <t>Lucknow</t>
  </si>
  <si>
    <t>Uttar Pradesh</t>
  </si>
  <si>
    <t>6333.166667</t>
  </si>
  <si>
    <t>9.07%</t>
  </si>
  <si>
    <t>Bhopal</t>
  </si>
  <si>
    <t>Madhya Pradesh</t>
  </si>
  <si>
    <t>532.6666667</t>
  </si>
  <si>
    <t>0.38%</t>
  </si>
  <si>
    <t>Patna</t>
  </si>
  <si>
    <t>Bihar</t>
  </si>
  <si>
    <t>0.36%</t>
  </si>
  <si>
    <t>Chandigarh</t>
  </si>
  <si>
    <t>0.48%</t>
  </si>
  <si>
    <t>Nagpur</t>
  </si>
  <si>
    <t>0.60%</t>
  </si>
  <si>
    <t>Indore</t>
  </si>
  <si>
    <t>1649.5</t>
  </si>
  <si>
    <t>0.79%</t>
  </si>
  <si>
    <t>Surat</t>
  </si>
  <si>
    <t>0.67%</t>
  </si>
  <si>
    <t>Visakhapatnam</t>
  </si>
  <si>
    <t>Andhra Pradesh</t>
  </si>
  <si>
    <t>1.05%</t>
  </si>
  <si>
    <t>Coimbatore</t>
  </si>
  <si>
    <t>499.75</t>
  </si>
  <si>
    <t>Mysuru</t>
  </si>
  <si>
    <t>399.3333333</t>
  </si>
  <si>
    <t>0.29%</t>
  </si>
  <si>
    <t>Thiruvananthapuram</t>
  </si>
  <si>
    <t>Kerala</t>
  </si>
  <si>
    <t>0.08%</t>
  </si>
  <si>
    <t>Madurai</t>
  </si>
  <si>
    <t>299.6666667</t>
  </si>
  <si>
    <t>0.21%</t>
  </si>
  <si>
    <t>Vijayawada</t>
  </si>
  <si>
    <t>0.33%</t>
  </si>
  <si>
    <t>Guwahati</t>
  </si>
  <si>
    <t>Assam</t>
  </si>
  <si>
    <t>Ranchi</t>
  </si>
  <si>
    <t>Jharkhand</t>
  </si>
  <si>
    <t>Raipur</t>
  </si>
  <si>
    <t>Chhattisgarh</t>
  </si>
  <si>
    <t>6.20%</t>
  </si>
  <si>
    <t>Jodhpur</t>
  </si>
  <si>
    <t>1199.333333</t>
  </si>
  <si>
    <t>0.86%</t>
  </si>
  <si>
    <t>Amritsar</t>
  </si>
  <si>
    <t>Punjab</t>
  </si>
  <si>
    <t>Dehradun</t>
  </si>
  <si>
    <t>Uttarakhand</t>
  </si>
  <si>
    <t>0.62%</t>
  </si>
  <si>
    <t>Agra</t>
  </si>
  <si>
    <t>1299.8</t>
  </si>
  <si>
    <t>1.55%</t>
  </si>
  <si>
    <t>Varanasi</t>
  </si>
  <si>
    <t>224.25</t>
  </si>
  <si>
    <t>Hubballi</t>
  </si>
  <si>
    <t>449.5</t>
  </si>
  <si>
    <t>Mangaluru</t>
  </si>
  <si>
    <t>0.24%</t>
  </si>
  <si>
    <t>Tiruchirappalli</t>
  </si>
  <si>
    <t>199.5</t>
  </si>
  <si>
    <t>0.10%</t>
  </si>
  <si>
    <t>Salem</t>
  </si>
  <si>
    <t>Udaipur</t>
  </si>
  <si>
    <t>499.5</t>
  </si>
  <si>
    <t>Gwalior</t>
  </si>
  <si>
    <t>Jamshedpur</t>
  </si>
  <si>
    <t>Dhanbad</t>
  </si>
  <si>
    <t>Kota</t>
  </si>
  <si>
    <t>0.57%</t>
  </si>
  <si>
    <t>Aligarh</t>
  </si>
  <si>
    <t>Noida</t>
  </si>
  <si>
    <t>2499.5</t>
  </si>
  <si>
    <t>Faridabad</t>
  </si>
  <si>
    <t>Haryana</t>
  </si>
  <si>
    <t>0.95%</t>
  </si>
  <si>
    <t>Ghaziabad</t>
  </si>
  <si>
    <t>0.83%</t>
  </si>
  <si>
    <t>Panaji</t>
  </si>
  <si>
    <t>Goa</t>
  </si>
  <si>
    <t>1.91%</t>
  </si>
  <si>
    <t>Shimla</t>
  </si>
  <si>
    <t>Himachal Pradesh</t>
  </si>
  <si>
    <t>2.62%</t>
  </si>
  <si>
    <t>Imphal</t>
  </si>
  <si>
    <t>Manipur</t>
  </si>
  <si>
    <t>0.72%</t>
  </si>
  <si>
    <t>Aizawl</t>
  </si>
  <si>
    <t>Mizoram</t>
  </si>
  <si>
    <t>Shillong</t>
  </si>
  <si>
    <t>Meghalaya</t>
  </si>
  <si>
    <t>0.19%</t>
  </si>
  <si>
    <t>Kohima</t>
  </si>
  <si>
    <t>Nagaland</t>
  </si>
  <si>
    <t>0.12%</t>
  </si>
  <si>
    <t>Itanagar</t>
  </si>
  <si>
    <t>Arunachal Pradesh</t>
  </si>
  <si>
    <t>Sum of Total Revenue</t>
  </si>
  <si>
    <t>Row Labels</t>
  </si>
  <si>
    <t>Grand Total</t>
  </si>
  <si>
    <t>Sum of Average Order value</t>
  </si>
  <si>
    <t>Count of Order_id</t>
  </si>
  <si>
    <t>Sum of Total Quantity</t>
  </si>
  <si>
    <t>Monday</t>
  </si>
  <si>
    <t>Order Day</t>
  </si>
  <si>
    <t>Sunday</t>
  </si>
  <si>
    <t>Tuesday</t>
  </si>
  <si>
    <t>Wednesday</t>
  </si>
  <si>
    <t>Thursday</t>
  </si>
  <si>
    <t>Friday</t>
  </si>
  <si>
    <t>Saturday</t>
  </si>
  <si>
    <t>Sum of Sum of Total Revenue</t>
  </si>
  <si>
    <t>Total Orders</t>
  </si>
  <si>
    <t>Top 5 Running Total Revenue</t>
  </si>
  <si>
    <t>Top 10 Customer</t>
  </si>
  <si>
    <t xml:space="preserve"> Revenue</t>
  </si>
  <si>
    <t xml:space="preserve"> </t>
  </si>
  <si>
    <t>Top 7 City contribution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</si>
</sst>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64" formatCode="[$₹-4009]\ ##,#00"/>
    <numFmt numFmtId="165" formatCode="[$₹-4009]\ ###,000"/>
    <numFmt numFmtId="166" formatCode="[$₹-4009]\ #,##0"/>
    <numFmt numFmtId="167" formatCode="[$₹-4009]\ #,##0;[$₹-4009]\ \-#,##0"/>
  </numFmts>
  <fonts count="24"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
      <sz val="10"/>
      <color theme="1"/>
      <name val="Arial"/>
      <family val="2"/>
    </font>
    <font>
      <sz val="11"/>
      <color theme="1"/>
      <name val="Calibri"/>
      <family val="2"/>
    </font>
    <font>
      <b/>
      <sz val="12"/>
      <color theme="0"/>
      <name val="Calibri"/>
      <family val="2"/>
    </font>
    <font>
      <b/>
      <sz val="11"/>
      <color theme="0"/>
      <name val="Arial"/>
      <family val="2"/>
    </font>
    <font>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002060"/>
        <bgColor indexed="64"/>
      </patternFill>
    </fill>
    <fill>
      <patternFill patternType="solid">
        <fgColor rgb="FFFFFF00"/>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30">
    <xf numFmtId="0" fontId="0" fillId="0" borderId="0" xfId="0"/>
    <xf numFmtId="0" fontId="18" fillId="0" borderId="10" xfId="0" applyFont="1" applyBorder="1" applyAlignment="1">
      <alignment horizontal="center" wrapText="1"/>
    </xf>
    <xf numFmtId="0" fontId="19" fillId="0" borderId="10" xfId="0" applyFont="1" applyBorder="1" applyAlignment="1">
      <alignment wrapText="1"/>
    </xf>
    <xf numFmtId="0" fontId="20" fillId="0" borderId="10" xfId="0" applyFont="1" applyBorder="1" applyAlignment="1">
      <alignment horizontal="center" wrapText="1"/>
    </xf>
    <xf numFmtId="14" fontId="20" fillId="0" borderId="10" xfId="0" applyNumberFormat="1" applyFont="1" applyBorder="1" applyAlignment="1">
      <alignment horizontal="center" wrapText="1"/>
    </xf>
    <xf numFmtId="0" fontId="19" fillId="0" borderId="10" xfId="0" applyFont="1" applyBorder="1" applyAlignment="1">
      <alignment horizontal="right" wrapText="1"/>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0" xfId="0" applyNumberFormat="1"/>
    <xf numFmtId="0" fontId="0" fillId="0" borderId="0" xfId="0" pivotButton="1"/>
    <xf numFmtId="0" fontId="0" fillId="0" borderId="0" xfId="0" applyAlignment="1">
      <alignment horizontal="left"/>
    </xf>
    <xf numFmtId="0" fontId="16" fillId="33" borderId="20" xfId="0" applyNumberFormat="1" applyFont="1" applyFill="1" applyBorder="1"/>
    <xf numFmtId="14" fontId="0" fillId="0" borderId="0" xfId="0" applyNumberFormat="1" applyAlignment="1">
      <alignment horizontal="left"/>
    </xf>
    <xf numFmtId="164" fontId="0" fillId="0" borderId="0" xfId="0" applyNumberFormat="1"/>
    <xf numFmtId="165" fontId="0" fillId="0" borderId="0" xfId="0" applyNumberFormat="1"/>
    <xf numFmtId="166" fontId="0" fillId="0" borderId="0" xfId="0" applyNumberFormat="1"/>
    <xf numFmtId="0" fontId="19" fillId="0" borderId="10" xfId="0" applyFont="1" applyBorder="1" applyAlignment="1">
      <alignment horizontal="center" wrapText="1"/>
    </xf>
    <xf numFmtId="0" fontId="20" fillId="0" borderId="10" xfId="0" applyNumberFormat="1" applyFont="1" applyBorder="1" applyAlignment="1">
      <alignment horizontal="center" wrapText="1"/>
    </xf>
    <xf numFmtId="167" fontId="20" fillId="0" borderId="10" xfId="42" applyNumberFormat="1" applyFont="1" applyBorder="1" applyAlignment="1">
      <alignment horizontal="center" wrapText="1"/>
    </xf>
    <xf numFmtId="14" fontId="21" fillId="34" borderId="10" xfId="0" applyNumberFormat="1" applyFont="1" applyFill="1" applyBorder="1" applyAlignment="1">
      <alignment horizontal="center" wrapText="1"/>
    </xf>
    <xf numFmtId="0" fontId="22" fillId="34" borderId="10" xfId="0" applyFont="1" applyFill="1" applyBorder="1" applyAlignment="1">
      <alignment wrapText="1"/>
    </xf>
    <xf numFmtId="0" fontId="0" fillId="35" borderId="0" xfId="0" applyFill="1"/>
    <xf numFmtId="0" fontId="23"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4" formatCode="[$₹-4009]\ ##,#00"/>
    </dxf>
    <dxf>
      <font>
        <b val="0"/>
      </font>
    </dxf>
    <dxf>
      <numFmt numFmtId="165" formatCode="[$₹-4009]\ ###,000"/>
    </dxf>
    <dxf>
      <font>
        <b val="0"/>
      </font>
    </dxf>
    <dxf>
      <numFmt numFmtId="165" formatCode="[$₹-4009]\ ###,000"/>
    </dxf>
    <dxf>
      <numFmt numFmtId="165" formatCode="[$₹-4009]\ ###,000"/>
    </dxf>
    <dxf>
      <numFmt numFmtId="166" formatCode="[$₹-4009]\ #,##0"/>
    </dxf>
    <dxf>
      <numFmt numFmtId="166" formatCode="[$₹-4009]\ #,##0"/>
    </dxf>
    <dxf>
      <numFmt numFmtId="165" formatCode="[$₹-4009]\ ###,000"/>
    </dxf>
    <dxf>
      <numFmt numFmtId="165" formatCode="[$₹-4009]\ ###,000"/>
    </dxf>
    <dxf>
      <font>
        <b val="0"/>
      </font>
    </dxf>
    <dxf>
      <numFmt numFmtId="165" formatCode="[$₹-4009]\ ###,00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[Daily sales trends reports.xlsx]Pivot Sheet!PivotTable20</c:name>
    <c:fmtId val="16"/>
  </c:pivotSource>
  <c:chart>
    <c:title>
      <c:tx>
        <c:rich>
          <a:bodyPr/>
          <a:lstStyle/>
          <a:p>
            <a:pPr>
              <a:defRPr/>
            </a:pPr>
            <a:r>
              <a:rPr lang="en-IN"/>
              <a:t>Bottom</a:t>
            </a:r>
            <a:r>
              <a:rPr lang="en-IN" baseline="0"/>
              <a:t> Performing Region</a:t>
            </a:r>
            <a:endParaRPr lang="en-IN"/>
          </a:p>
        </c:rich>
      </c:tx>
      <c:layout>
        <c:manualLayout>
          <c:xMode val="edge"/>
          <c:yMode val="edge"/>
          <c:x val="0.23743044619422571"/>
          <c:y val="0.10546077573636629"/>
        </c:manualLayout>
      </c:layout>
      <c:overlay val="0"/>
    </c:title>
    <c:autoTitleDeleted val="0"/>
    <c:pivotFmts>
      <c:pivotFmt>
        <c:idx val="0"/>
        <c:marker>
          <c:symbol val="none"/>
        </c:marker>
      </c:pivotFmt>
    </c:pivotFmts>
    <c:plotArea>
      <c:layout/>
      <c:pieChart>
        <c:varyColors val="1"/>
        <c:ser>
          <c:idx val="0"/>
          <c:order val="0"/>
          <c:tx>
            <c:strRef>
              <c:f>'Pivot Sheet'!$N$95</c:f>
              <c:strCache>
                <c:ptCount val="1"/>
                <c:pt idx="0">
                  <c:v>Total</c:v>
                </c:pt>
              </c:strCache>
            </c:strRef>
          </c:tx>
          <c:cat>
            <c:strRef>
              <c:f>'Pivot Sheet'!$M$96:$M$101</c:f>
              <c:strCache>
                <c:ptCount val="5"/>
                <c:pt idx="0">
                  <c:v>Arunachal Pradesh</c:v>
                </c:pt>
                <c:pt idx="1">
                  <c:v>Kerala</c:v>
                </c:pt>
                <c:pt idx="2">
                  <c:v>Meghalaya</c:v>
                </c:pt>
                <c:pt idx="3">
                  <c:v>Nagaland</c:v>
                </c:pt>
                <c:pt idx="4">
                  <c:v>Punjab</c:v>
                </c:pt>
              </c:strCache>
            </c:strRef>
          </c:cat>
          <c:val>
            <c:numRef>
              <c:f>'Pivot Sheet'!$N$96:$N$101</c:f>
              <c:numCache>
                <c:formatCode>General</c:formatCode>
                <c:ptCount val="5"/>
                <c:pt idx="0">
                  <c:v>999</c:v>
                </c:pt>
                <c:pt idx="1">
                  <c:v>349</c:v>
                </c:pt>
                <c:pt idx="2">
                  <c:v>798</c:v>
                </c:pt>
                <c:pt idx="3">
                  <c:v>499</c:v>
                </c:pt>
                <c:pt idx="4">
                  <c:v>899</c:v>
                </c:pt>
              </c:numCache>
            </c:numRef>
          </c:val>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10"/>
    </mc:Choice>
    <mc:Fallback>
      <c:style val="10"/>
    </mc:Fallback>
  </mc:AlternateContent>
  <c:pivotSource>
    <c:name>[Daily sales trends reports.xlsx]Pivot Sheet!PivotTable13</c:name>
    <c:fmtId val="4"/>
  </c:pivotSource>
  <c:chart>
    <c:title>
      <c:tx>
        <c:rich>
          <a:bodyPr/>
          <a:lstStyle/>
          <a:p>
            <a:pPr>
              <a:defRPr/>
            </a:pPr>
            <a:r>
              <a:rPr lang="en-US"/>
              <a:t>Sales</a:t>
            </a:r>
            <a:r>
              <a:rPr lang="en-US" baseline="0"/>
              <a:t> By </a:t>
            </a:r>
            <a:endParaRPr lang="en-US"/>
          </a:p>
        </c:rich>
      </c:tx>
      <c:overlay val="0"/>
    </c:title>
    <c:autoTitleDeleted val="0"/>
    <c:pivotFmts>
      <c:pivotFmt>
        <c:idx val="0"/>
        <c:marker>
          <c:symbol val="none"/>
        </c:marker>
      </c:pivotFmt>
    </c:pivotFmts>
    <c:plotArea>
      <c:layout/>
      <c:doughnutChart>
        <c:varyColors val="1"/>
        <c:ser>
          <c:idx val="0"/>
          <c:order val="0"/>
          <c:tx>
            <c:strRef>
              <c:f>'Pivot Sheet'!$P$53</c:f>
              <c:strCache>
                <c:ptCount val="1"/>
                <c:pt idx="0">
                  <c:v>Total</c:v>
                </c:pt>
              </c:strCache>
            </c:strRef>
          </c:tx>
          <c:cat>
            <c:strRef>
              <c:f>'Pivot Sheet'!$O$54:$O$61</c:f>
              <c:strCache>
                <c:ptCount val="7"/>
                <c:pt idx="0">
                  <c:v>Sunday</c:v>
                </c:pt>
                <c:pt idx="1">
                  <c:v>Monday</c:v>
                </c:pt>
                <c:pt idx="2">
                  <c:v>Tuesday</c:v>
                </c:pt>
                <c:pt idx="3">
                  <c:v>Wednesday</c:v>
                </c:pt>
                <c:pt idx="4">
                  <c:v>Thursday</c:v>
                </c:pt>
                <c:pt idx="5">
                  <c:v>Friday</c:v>
                </c:pt>
                <c:pt idx="6">
                  <c:v>Saturday</c:v>
                </c:pt>
              </c:strCache>
            </c:strRef>
          </c:cat>
          <c:val>
            <c:numRef>
              <c:f>'Pivot Sheet'!$P$54:$P$61</c:f>
              <c:numCache>
                <c:formatCode>[$₹-4009]\ ###,000</c:formatCode>
                <c:ptCount val="7"/>
                <c:pt idx="0">
                  <c:v>21389</c:v>
                </c:pt>
                <c:pt idx="1">
                  <c:v>50690</c:v>
                </c:pt>
                <c:pt idx="2">
                  <c:v>80689</c:v>
                </c:pt>
                <c:pt idx="3">
                  <c:v>135892</c:v>
                </c:pt>
                <c:pt idx="4">
                  <c:v>60892</c:v>
                </c:pt>
                <c:pt idx="5">
                  <c:v>58688</c:v>
                </c:pt>
                <c:pt idx="6">
                  <c:v>10838</c:v>
                </c:pt>
              </c:numCache>
            </c:numRef>
          </c:val>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26"/>
    </mc:Choice>
    <mc:Fallback>
      <c:style val="26"/>
    </mc:Fallback>
  </mc:AlternateContent>
  <c:pivotSource>
    <c:name>[Daily sales trends reports.xlsx]Pivot and chart!PivotTable2</c:name>
    <c:fmtId val="0"/>
  </c:pivotSource>
  <c:chart>
    <c:title>
      <c:layout/>
      <c:overlay val="0"/>
    </c:title>
    <c:autoTitleDeleted val="0"/>
    <c:pivotFmts>
      <c:pivotFmt>
        <c:idx val="0"/>
      </c:pivotFmt>
    </c:pivotFmts>
    <c:plotArea>
      <c:layout/>
      <c:lineChart>
        <c:grouping val="stacked"/>
        <c:varyColors val="0"/>
        <c:ser>
          <c:idx val="0"/>
          <c:order val="0"/>
          <c:tx>
            <c:strRef>
              <c:f>'Pivot and chart'!$B$3</c:f>
              <c:strCache>
                <c:ptCount val="1"/>
                <c:pt idx="0">
                  <c:v>Total</c:v>
                </c:pt>
              </c:strCache>
            </c:strRef>
          </c:tx>
          <c:cat>
            <c:strRef>
              <c:f>'Pivot and chart'!$A$4:$A$9</c:f>
              <c:strCache>
                <c:ptCount val="5"/>
                <c:pt idx="0">
                  <c:v>03-01-2024</c:v>
                </c:pt>
                <c:pt idx="1">
                  <c:v>05-01-2024</c:v>
                </c:pt>
                <c:pt idx="2">
                  <c:v>09-01-2024</c:v>
                </c:pt>
                <c:pt idx="3">
                  <c:v>10-01-2024</c:v>
                </c:pt>
                <c:pt idx="4">
                  <c:v>13-02-2024</c:v>
                </c:pt>
              </c:strCache>
            </c:strRef>
          </c:cat>
          <c:val>
            <c:numRef>
              <c:f>'Pivot and chart'!$B$4:$B$9</c:f>
              <c:numCache>
                <c:formatCode>General</c:formatCode>
                <c:ptCount val="5"/>
                <c:pt idx="0">
                  <c:v>75999</c:v>
                </c:pt>
                <c:pt idx="1">
                  <c:v>45999</c:v>
                </c:pt>
                <c:pt idx="2">
                  <c:v>32999</c:v>
                </c:pt>
                <c:pt idx="3">
                  <c:v>37999</c:v>
                </c:pt>
                <c:pt idx="4">
                  <c:v>100000</c:v>
                </c:pt>
              </c:numCache>
            </c:numRef>
          </c:val>
          <c:smooth val="0"/>
        </c:ser>
        <c:dLbls>
          <c:showLegendKey val="0"/>
          <c:showVal val="0"/>
          <c:showCatName val="0"/>
          <c:showSerName val="0"/>
          <c:showPercent val="0"/>
          <c:showBubbleSize val="0"/>
        </c:dLbls>
        <c:marker val="1"/>
        <c:smooth val="0"/>
        <c:axId val="207540224"/>
        <c:axId val="207541760"/>
      </c:lineChart>
      <c:catAx>
        <c:axId val="207540224"/>
        <c:scaling>
          <c:orientation val="minMax"/>
        </c:scaling>
        <c:delete val="0"/>
        <c:axPos val="b"/>
        <c:majorTickMark val="out"/>
        <c:minorTickMark val="none"/>
        <c:tickLblPos val="nextTo"/>
        <c:crossAx val="207541760"/>
        <c:crosses val="autoZero"/>
        <c:auto val="1"/>
        <c:lblAlgn val="ctr"/>
        <c:lblOffset val="100"/>
        <c:noMultiLvlLbl val="0"/>
      </c:catAx>
      <c:valAx>
        <c:axId val="207541760"/>
        <c:scaling>
          <c:orientation val="minMax"/>
        </c:scaling>
        <c:delete val="0"/>
        <c:axPos val="l"/>
        <c:numFmt formatCode="General" sourceLinked="1"/>
        <c:majorTickMark val="out"/>
        <c:minorTickMark val="none"/>
        <c:tickLblPos val="nextTo"/>
        <c:crossAx val="207540224"/>
        <c:crosses val="autoZero"/>
        <c:crossBetween val="between"/>
      </c:valAx>
      <c:spPr>
        <a:noFill/>
        <a:ln w="25400">
          <a:noFill/>
        </a:ln>
      </c:spPr>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35"/>
    </mc:Choice>
    <mc:Fallback>
      <c:style val="35"/>
    </mc:Fallback>
  </mc:AlternateContent>
  <c:pivotSource>
    <c:name>[Daily sales trends reports.xlsx]Pivot and chart!PivotTable3</c:name>
    <c:fmtId val="0"/>
  </c:pivotSource>
  <c:chart>
    <c:title>
      <c:layout/>
      <c:overlay val="0"/>
    </c:title>
    <c:autoTitleDeleted val="0"/>
    <c:pivotFmts>
      <c:pivotFmt>
        <c:idx val="0"/>
        <c:marker>
          <c:symbol val="none"/>
        </c:marker>
      </c:pivotFmt>
    </c:pivotFmts>
    <c:view3D>
      <c:rotX val="15"/>
      <c:rotY val="20"/>
      <c:rAngAx val="1"/>
    </c:view3D>
    <c:floor>
      <c:thickness val="0"/>
    </c:floor>
    <c:sideWall>
      <c:thickness val="0"/>
    </c:sideWall>
    <c:backWall>
      <c:thickness val="0"/>
    </c:backWall>
    <c:plotArea>
      <c:layout/>
      <c:bar3DChart>
        <c:barDir val="bar"/>
        <c:grouping val="clustered"/>
        <c:varyColors val="0"/>
        <c:ser>
          <c:idx val="0"/>
          <c:order val="0"/>
          <c:tx>
            <c:strRef>
              <c:f>'Pivot and chart'!$B$12</c:f>
              <c:strCache>
                <c:ptCount val="1"/>
                <c:pt idx="0">
                  <c:v>Total</c:v>
                </c:pt>
              </c:strCache>
            </c:strRef>
          </c:tx>
          <c:invertIfNegative val="0"/>
          <c:cat>
            <c:strRef>
              <c:f>'Pivot and chart'!$A$13:$A$23</c:f>
              <c:strCache>
                <c:ptCount val="10"/>
                <c:pt idx="0">
                  <c:v>2</c:v>
                </c:pt>
                <c:pt idx="1">
                  <c:v>3</c:v>
                </c:pt>
                <c:pt idx="2">
                  <c:v>5</c:v>
                </c:pt>
                <c:pt idx="3">
                  <c:v>8</c:v>
                </c:pt>
                <c:pt idx="4">
                  <c:v>9</c:v>
                </c:pt>
                <c:pt idx="5">
                  <c:v>10</c:v>
                </c:pt>
                <c:pt idx="6">
                  <c:v>21</c:v>
                </c:pt>
                <c:pt idx="7">
                  <c:v>25</c:v>
                </c:pt>
                <c:pt idx="8">
                  <c:v>34</c:v>
                </c:pt>
                <c:pt idx="9">
                  <c:v>43</c:v>
                </c:pt>
              </c:strCache>
            </c:strRef>
          </c:cat>
          <c:val>
            <c:numRef>
              <c:f>'Pivot and chart'!$B$13:$B$23</c:f>
              <c:numCache>
                <c:formatCode>General</c:formatCode>
                <c:ptCount val="10"/>
                <c:pt idx="0">
                  <c:v>31998</c:v>
                </c:pt>
                <c:pt idx="1">
                  <c:v>75999</c:v>
                </c:pt>
                <c:pt idx="2">
                  <c:v>45999</c:v>
                </c:pt>
                <c:pt idx="3">
                  <c:v>28999</c:v>
                </c:pt>
                <c:pt idx="4">
                  <c:v>32999</c:v>
                </c:pt>
                <c:pt idx="5">
                  <c:v>37999</c:v>
                </c:pt>
                <c:pt idx="6">
                  <c:v>30000</c:v>
                </c:pt>
                <c:pt idx="7">
                  <c:v>25999</c:v>
                </c:pt>
                <c:pt idx="8">
                  <c:v>25098</c:v>
                </c:pt>
                <c:pt idx="9">
                  <c:v>100000</c:v>
                </c:pt>
              </c:numCache>
            </c:numRef>
          </c:val>
        </c:ser>
        <c:dLbls>
          <c:showLegendKey val="0"/>
          <c:showVal val="0"/>
          <c:showCatName val="0"/>
          <c:showSerName val="0"/>
          <c:showPercent val="0"/>
          <c:showBubbleSize val="0"/>
        </c:dLbls>
        <c:gapWidth val="150"/>
        <c:shape val="box"/>
        <c:axId val="207177600"/>
        <c:axId val="207179136"/>
        <c:axId val="0"/>
      </c:bar3DChart>
      <c:catAx>
        <c:axId val="207177600"/>
        <c:scaling>
          <c:orientation val="minMax"/>
        </c:scaling>
        <c:delete val="0"/>
        <c:axPos val="l"/>
        <c:majorTickMark val="out"/>
        <c:minorTickMark val="none"/>
        <c:tickLblPos val="nextTo"/>
        <c:crossAx val="207179136"/>
        <c:crosses val="autoZero"/>
        <c:auto val="1"/>
        <c:lblAlgn val="ctr"/>
        <c:lblOffset val="100"/>
        <c:noMultiLvlLbl val="0"/>
      </c:catAx>
      <c:valAx>
        <c:axId val="207179136"/>
        <c:scaling>
          <c:orientation val="minMax"/>
        </c:scaling>
        <c:delete val="0"/>
        <c:axPos val="b"/>
        <c:numFmt formatCode="General" sourceLinked="1"/>
        <c:majorTickMark val="out"/>
        <c:minorTickMark val="none"/>
        <c:tickLblPos val="nextTo"/>
        <c:crossAx val="20717760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26"/>
    </mc:Choice>
    <mc:Fallback>
      <c:style val="26"/>
    </mc:Fallback>
  </mc:AlternateContent>
  <c:pivotSource>
    <c:name>[Daily sales trends reports.xlsx]Pivot and chart!PivotTable4</c:name>
    <c:fmtId val="1"/>
  </c:pivotSource>
  <c:chart>
    <c:autoTitleDeleted val="1"/>
    <c:pivotFmts>
      <c:pivotFmt>
        <c:idx val="0"/>
        <c:marker>
          <c:symbol val="none"/>
        </c:marker>
      </c:pivotFmt>
      <c:pivotFmt>
        <c:idx val="1"/>
      </c:pivotFmt>
    </c:pivotFmts>
    <c:view3D>
      <c:rotX val="15"/>
      <c:rotY val="20"/>
      <c:rAngAx val="1"/>
    </c:view3D>
    <c:floor>
      <c:thickness val="0"/>
    </c:floor>
    <c:sideWall>
      <c:thickness val="0"/>
    </c:sideWall>
    <c:backWall>
      <c:thickness val="0"/>
    </c:backWall>
    <c:plotArea>
      <c:layout>
        <c:manualLayout>
          <c:layoutTarget val="inner"/>
          <c:xMode val="edge"/>
          <c:yMode val="edge"/>
          <c:x val="0.12554396325459319"/>
          <c:y val="0.1429724409448819"/>
          <c:w val="0.76315157480314966"/>
          <c:h val="0.56331073199183435"/>
        </c:manualLayout>
      </c:layout>
      <c:bar3DChart>
        <c:barDir val="col"/>
        <c:grouping val="clustered"/>
        <c:varyColors val="0"/>
        <c:ser>
          <c:idx val="0"/>
          <c:order val="0"/>
          <c:tx>
            <c:strRef>
              <c:f>'Pivot and chart'!$B$26</c:f>
              <c:strCache>
                <c:ptCount val="1"/>
                <c:pt idx="0">
                  <c:v>Total</c:v>
                </c:pt>
              </c:strCache>
            </c:strRef>
          </c:tx>
          <c:invertIfNegative val="0"/>
          <c:cat>
            <c:strRef>
              <c:f>'Pivot and chart'!$A$27:$A$34</c:f>
              <c:strCache>
                <c:ptCount val="7"/>
                <c:pt idx="0">
                  <c:v>Chennai</c:v>
                </c:pt>
                <c:pt idx="1">
                  <c:v>Delhi</c:v>
                </c:pt>
                <c:pt idx="2">
                  <c:v>Ghaziabad</c:v>
                </c:pt>
                <c:pt idx="3">
                  <c:v>Kolkata</c:v>
                </c:pt>
                <c:pt idx="4">
                  <c:v>Lucknow</c:v>
                </c:pt>
                <c:pt idx="5">
                  <c:v>Madurai</c:v>
                </c:pt>
                <c:pt idx="6">
                  <c:v>Mumbai</c:v>
                </c:pt>
              </c:strCache>
            </c:strRef>
          </c:cat>
          <c:val>
            <c:numRef>
              <c:f>'Pivot and chart'!$B$27:$B$34</c:f>
              <c:numCache>
                <c:formatCode>General</c:formatCode>
                <c:ptCount val="7"/>
                <c:pt idx="0">
                  <c:v>45999</c:v>
                </c:pt>
                <c:pt idx="1">
                  <c:v>75999</c:v>
                </c:pt>
                <c:pt idx="2">
                  <c:v>100000</c:v>
                </c:pt>
                <c:pt idx="3">
                  <c:v>32999</c:v>
                </c:pt>
                <c:pt idx="4">
                  <c:v>37999</c:v>
                </c:pt>
                <c:pt idx="5">
                  <c:v>30000</c:v>
                </c:pt>
                <c:pt idx="6">
                  <c:v>31998</c:v>
                </c:pt>
              </c:numCache>
            </c:numRef>
          </c:val>
        </c:ser>
        <c:dLbls>
          <c:showLegendKey val="0"/>
          <c:showVal val="0"/>
          <c:showCatName val="0"/>
          <c:showSerName val="0"/>
          <c:showPercent val="0"/>
          <c:showBubbleSize val="0"/>
        </c:dLbls>
        <c:gapWidth val="150"/>
        <c:shape val="box"/>
        <c:axId val="207486976"/>
        <c:axId val="207488512"/>
        <c:axId val="0"/>
      </c:bar3DChart>
      <c:catAx>
        <c:axId val="207486976"/>
        <c:scaling>
          <c:orientation val="minMax"/>
        </c:scaling>
        <c:delete val="0"/>
        <c:axPos val="b"/>
        <c:majorTickMark val="out"/>
        <c:minorTickMark val="none"/>
        <c:tickLblPos val="nextTo"/>
        <c:txPr>
          <a:bodyPr/>
          <a:lstStyle/>
          <a:p>
            <a:pPr>
              <a:defRPr b="1"/>
            </a:pPr>
            <a:endParaRPr lang="en-US"/>
          </a:p>
        </c:txPr>
        <c:crossAx val="207488512"/>
        <c:crosses val="autoZero"/>
        <c:auto val="1"/>
        <c:lblAlgn val="ctr"/>
        <c:lblOffset val="100"/>
        <c:noMultiLvlLbl val="0"/>
      </c:catAx>
      <c:valAx>
        <c:axId val="207488512"/>
        <c:scaling>
          <c:orientation val="minMax"/>
        </c:scaling>
        <c:delete val="0"/>
        <c:axPos val="l"/>
        <c:numFmt formatCode="General" sourceLinked="1"/>
        <c:majorTickMark val="out"/>
        <c:minorTickMark val="none"/>
        <c:tickLblPos val="nextTo"/>
        <c:txPr>
          <a:bodyPr/>
          <a:lstStyle/>
          <a:p>
            <a:pPr>
              <a:defRPr b="1"/>
            </a:pPr>
            <a:endParaRPr lang="en-US"/>
          </a:p>
        </c:txPr>
        <c:crossAx val="20748697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3"/>
    </mc:Choice>
    <mc:Fallback>
      <c:style val="3"/>
    </mc:Fallback>
  </mc:AlternateContent>
  <c:pivotSource>
    <c:name>[Daily sales trends reports.xlsx]Pivot Sheet!PivotTable3</c:name>
    <c:fmtId val="4"/>
  </c:pivotSource>
  <c:chart>
    <c:title>
      <c:tx>
        <c:rich>
          <a:bodyPr/>
          <a:lstStyle/>
          <a:p>
            <a:pPr>
              <a:defRPr sz="1800"/>
            </a:pPr>
            <a:r>
              <a:rPr lang="en-IN" sz="1800"/>
              <a:t>Top Performing Region</a:t>
            </a:r>
          </a:p>
        </c:rich>
      </c:tx>
      <c:layout>
        <c:manualLayout>
          <c:xMode val="edge"/>
          <c:yMode val="edge"/>
          <c:x val="0.23996717391458144"/>
          <c:y val="0.10966279518262217"/>
        </c:manualLayout>
      </c:layout>
      <c:overlay val="0"/>
    </c:title>
    <c:autoTitleDeleted val="0"/>
    <c:pivotFmts>
      <c:pivotFmt>
        <c:idx val="0"/>
      </c:pivotFmt>
      <c:pivotFmt>
        <c:idx val="1"/>
      </c:pivotFmt>
      <c:pivotFmt>
        <c:idx val="2"/>
      </c:pivotFmt>
      <c:pivotFmt>
        <c:idx val="3"/>
      </c:pivotFmt>
      <c:pivotFmt>
        <c:idx val="4"/>
        <c:spPr>
          <a:effectLst/>
          <a:scene3d>
            <a:camera prst="orthographicFront"/>
            <a:lightRig rig="threePt" dir="t"/>
          </a:scene3d>
          <a:sp3d>
            <a:bevelT w="6350"/>
          </a:sp3d>
        </c:spPr>
        <c:marker>
          <c:symbol val="none"/>
        </c:marker>
      </c:pivotFmt>
    </c:pivotFmts>
    <c:plotArea>
      <c:layout/>
      <c:barChart>
        <c:barDir val="col"/>
        <c:grouping val="clustered"/>
        <c:varyColors val="0"/>
        <c:ser>
          <c:idx val="0"/>
          <c:order val="0"/>
          <c:tx>
            <c:strRef>
              <c:f>'Pivot Sheet'!$B$3</c:f>
              <c:strCache>
                <c:ptCount val="1"/>
                <c:pt idx="0">
                  <c:v>Total</c:v>
                </c:pt>
              </c:strCache>
            </c:strRef>
          </c:tx>
          <c:spPr>
            <a:effectLst/>
            <a:scene3d>
              <a:camera prst="orthographicFront"/>
              <a:lightRig rig="threePt" dir="t"/>
            </a:scene3d>
            <a:sp3d>
              <a:bevelT w="6350"/>
            </a:sp3d>
          </c:spPr>
          <c:invertIfNegative val="0"/>
          <c:cat>
            <c:strRef>
              <c:f>'Pivot Sheet'!$A$4:$A$9</c:f>
              <c:strCache>
                <c:ptCount val="5"/>
                <c:pt idx="0">
                  <c:v>Delhi</c:v>
                </c:pt>
                <c:pt idx="1">
                  <c:v>Maharashtra</c:v>
                </c:pt>
                <c:pt idx="2">
                  <c:v>Rajasthan</c:v>
                </c:pt>
                <c:pt idx="3">
                  <c:v>Tamil Nadu</c:v>
                </c:pt>
                <c:pt idx="4">
                  <c:v>Uttar Pradesh</c:v>
                </c:pt>
              </c:strCache>
            </c:strRef>
          </c:cat>
          <c:val>
            <c:numRef>
              <c:f>'Pivot Sheet'!$B$4:$B$9</c:f>
              <c:numCache>
                <c:formatCode>[$₹-4009]\ ##,#00</c:formatCode>
                <c:ptCount val="5"/>
                <c:pt idx="0">
                  <c:v>75999</c:v>
                </c:pt>
                <c:pt idx="1">
                  <c:v>38394</c:v>
                </c:pt>
                <c:pt idx="2">
                  <c:v>35994</c:v>
                </c:pt>
                <c:pt idx="3">
                  <c:v>125096</c:v>
                </c:pt>
                <c:pt idx="4">
                  <c:v>151293</c:v>
                </c:pt>
              </c:numCache>
            </c:numRef>
          </c:val>
        </c:ser>
        <c:dLbls>
          <c:showLegendKey val="0"/>
          <c:showVal val="0"/>
          <c:showCatName val="0"/>
          <c:showSerName val="0"/>
          <c:showPercent val="0"/>
          <c:showBubbleSize val="0"/>
        </c:dLbls>
        <c:gapWidth val="67"/>
        <c:overlap val="100"/>
        <c:axId val="208941824"/>
        <c:axId val="208943360"/>
      </c:barChart>
      <c:catAx>
        <c:axId val="208941824"/>
        <c:scaling>
          <c:orientation val="minMax"/>
        </c:scaling>
        <c:delete val="0"/>
        <c:axPos val="b"/>
        <c:majorTickMark val="out"/>
        <c:minorTickMark val="none"/>
        <c:tickLblPos val="nextTo"/>
        <c:txPr>
          <a:bodyPr/>
          <a:lstStyle/>
          <a:p>
            <a:pPr>
              <a:defRPr b="1"/>
            </a:pPr>
            <a:endParaRPr lang="en-US"/>
          </a:p>
        </c:txPr>
        <c:crossAx val="208943360"/>
        <c:crosses val="autoZero"/>
        <c:auto val="1"/>
        <c:lblAlgn val="ctr"/>
        <c:lblOffset val="100"/>
        <c:noMultiLvlLbl val="0"/>
      </c:catAx>
      <c:valAx>
        <c:axId val="208943360"/>
        <c:scaling>
          <c:orientation val="minMax"/>
        </c:scaling>
        <c:delete val="0"/>
        <c:axPos val="l"/>
        <c:numFmt formatCode="[$₹-4009]\ ##,#00" sourceLinked="1"/>
        <c:majorTickMark val="out"/>
        <c:minorTickMark val="none"/>
        <c:tickLblPos val="nextTo"/>
        <c:crossAx val="20894182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[Daily sales trends reports.xlsx]Pivot Sheet!PivotTable20</c:name>
    <c:fmtId val="18"/>
  </c:pivotSource>
  <c:chart>
    <c:title>
      <c:tx>
        <c:rich>
          <a:bodyPr/>
          <a:lstStyle/>
          <a:p>
            <a:pPr>
              <a:defRPr/>
            </a:pPr>
            <a:r>
              <a:rPr lang="en-IN"/>
              <a:t>Bottom</a:t>
            </a:r>
            <a:r>
              <a:rPr lang="en-IN" baseline="0"/>
              <a:t> Performing Region</a:t>
            </a:r>
            <a:endParaRPr lang="en-IN"/>
          </a:p>
        </c:rich>
      </c:tx>
      <c:layout>
        <c:manualLayout>
          <c:xMode val="edge"/>
          <c:yMode val="edge"/>
          <c:x val="0.1512522316824218"/>
          <c:y val="0.12187106702881229"/>
        </c:manualLayout>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manualLayout>
          <c:layoutTarget val="inner"/>
          <c:xMode val="edge"/>
          <c:yMode val="edge"/>
          <c:x val="9.8351519807252485E-2"/>
          <c:y val="0.25335215129486011"/>
          <c:w val="0.50552950282545062"/>
          <c:h val="0.70151962899887066"/>
        </c:manualLayout>
      </c:layout>
      <c:pieChart>
        <c:varyColors val="1"/>
        <c:ser>
          <c:idx val="0"/>
          <c:order val="0"/>
          <c:tx>
            <c:strRef>
              <c:f>'Pivot Sheet'!$N$95</c:f>
              <c:strCache>
                <c:ptCount val="1"/>
                <c:pt idx="0">
                  <c:v>Total</c:v>
                </c:pt>
              </c:strCache>
            </c:strRef>
          </c:tx>
          <c:cat>
            <c:strRef>
              <c:f>'Pivot Sheet'!$M$96:$M$101</c:f>
              <c:strCache>
                <c:ptCount val="5"/>
                <c:pt idx="0">
                  <c:v>Arunachal Pradesh</c:v>
                </c:pt>
                <c:pt idx="1">
                  <c:v>Kerala</c:v>
                </c:pt>
                <c:pt idx="2">
                  <c:v>Meghalaya</c:v>
                </c:pt>
                <c:pt idx="3">
                  <c:v>Nagaland</c:v>
                </c:pt>
                <c:pt idx="4">
                  <c:v>Punjab</c:v>
                </c:pt>
              </c:strCache>
            </c:strRef>
          </c:cat>
          <c:val>
            <c:numRef>
              <c:f>'Pivot Sheet'!$N$96:$N$101</c:f>
              <c:numCache>
                <c:formatCode>General</c:formatCode>
                <c:ptCount val="5"/>
                <c:pt idx="0">
                  <c:v>999</c:v>
                </c:pt>
                <c:pt idx="1">
                  <c:v>349</c:v>
                </c:pt>
                <c:pt idx="2">
                  <c:v>798</c:v>
                </c:pt>
                <c:pt idx="3">
                  <c:v>499</c:v>
                </c:pt>
                <c:pt idx="4">
                  <c:v>899</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10"/>
    </mc:Choice>
    <mc:Fallback>
      <c:style val="10"/>
    </mc:Fallback>
  </mc:AlternateContent>
  <c:pivotSource>
    <c:name>[Daily sales trends reports.xlsx]Pivot Sheet!PivotTable13</c:name>
    <c:fmtId val="6"/>
  </c:pivotSource>
  <c:chart>
    <c:title>
      <c:tx>
        <c:rich>
          <a:bodyPr/>
          <a:lstStyle/>
          <a:p>
            <a:pPr>
              <a:defRPr/>
            </a:pPr>
            <a:r>
              <a:rPr lang="en-US"/>
              <a:t>Sales</a:t>
            </a:r>
            <a:r>
              <a:rPr lang="en-US" baseline="0"/>
              <a:t> By Day Of Week </a:t>
            </a:r>
            <a:endParaRPr lang="en-US"/>
          </a:p>
        </c:rich>
      </c:tx>
      <c:layout/>
      <c:overlay val="0"/>
    </c:title>
    <c:autoTitleDeleted val="0"/>
    <c:pivotFmts>
      <c:pivotFmt>
        <c:idx val="0"/>
      </c:pivotFmt>
      <c:pivotFmt>
        <c:idx val="1"/>
        <c:marker>
          <c:symbol val="none"/>
        </c:marker>
      </c:pivotFmt>
      <c:pivotFmt>
        <c:idx val="2"/>
        <c:marker>
          <c:symbol val="none"/>
        </c:marker>
      </c:pivotFmt>
    </c:pivotFmts>
    <c:plotArea>
      <c:layout/>
      <c:doughnutChart>
        <c:varyColors val="1"/>
        <c:ser>
          <c:idx val="0"/>
          <c:order val="0"/>
          <c:tx>
            <c:strRef>
              <c:f>'Pivot Sheet'!$P$53</c:f>
              <c:strCache>
                <c:ptCount val="1"/>
                <c:pt idx="0">
                  <c:v>Total</c:v>
                </c:pt>
              </c:strCache>
            </c:strRef>
          </c:tx>
          <c:cat>
            <c:strRef>
              <c:f>'Pivot Sheet'!$O$54:$O$61</c:f>
              <c:strCache>
                <c:ptCount val="7"/>
                <c:pt idx="0">
                  <c:v>Sunday</c:v>
                </c:pt>
                <c:pt idx="1">
                  <c:v>Monday</c:v>
                </c:pt>
                <c:pt idx="2">
                  <c:v>Tuesday</c:v>
                </c:pt>
                <c:pt idx="3">
                  <c:v>Wednesday</c:v>
                </c:pt>
                <c:pt idx="4">
                  <c:v>Thursday</c:v>
                </c:pt>
                <c:pt idx="5">
                  <c:v>Friday</c:v>
                </c:pt>
                <c:pt idx="6">
                  <c:v>Saturday</c:v>
                </c:pt>
              </c:strCache>
            </c:strRef>
          </c:cat>
          <c:val>
            <c:numRef>
              <c:f>'Pivot Sheet'!$P$54:$P$61</c:f>
              <c:numCache>
                <c:formatCode>[$₹-4009]\ ###,000</c:formatCode>
                <c:ptCount val="7"/>
                <c:pt idx="0">
                  <c:v>21389</c:v>
                </c:pt>
                <c:pt idx="1">
                  <c:v>50690</c:v>
                </c:pt>
                <c:pt idx="2">
                  <c:v>80689</c:v>
                </c:pt>
                <c:pt idx="3">
                  <c:v>135892</c:v>
                </c:pt>
                <c:pt idx="4">
                  <c:v>60892</c:v>
                </c:pt>
                <c:pt idx="5">
                  <c:v>58688</c:v>
                </c:pt>
                <c:pt idx="6">
                  <c:v>10838</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en-US"/>
              <a:t>Top</a:t>
            </a:r>
            <a:r>
              <a:rPr lang="en-US" baseline="0"/>
              <a:t> 5 Running Total Revenue</a:t>
            </a:r>
            <a:endParaRPr lang="en-US"/>
          </a:p>
        </c:rich>
      </c:tx>
      <c:layout/>
      <c:overlay val="0"/>
    </c:title>
    <c:autoTitleDeleted val="0"/>
    <c:pivotFmts>
      <c:pivotFmt>
        <c:idx val="0"/>
      </c:pivotFmt>
      <c:pivotFmt>
        <c:idx val="1"/>
      </c:pivotFmt>
      <c:pivotFmt>
        <c:idx val="2"/>
      </c:pivotFmt>
    </c:pivotFmts>
    <c:plotArea>
      <c:layout/>
      <c:lineChart>
        <c:grouping val="stacked"/>
        <c:varyColors val="0"/>
        <c:ser>
          <c:idx val="0"/>
          <c:order val="0"/>
          <c:tx>
            <c:v>Total</c:v>
          </c:tx>
          <c:cat>
            <c:strLit>
              <c:ptCount val="5"/>
              <c:pt idx="0">
                <c:v>02-01-2024</c:v>
              </c:pt>
              <c:pt idx="1">
                <c:v>03-01-2024</c:v>
              </c:pt>
              <c:pt idx="2">
                <c:v>05-01-2024</c:v>
              </c:pt>
              <c:pt idx="3">
                <c:v>09-01-2024</c:v>
              </c:pt>
              <c:pt idx="4">
                <c:v>10-01-2024</c:v>
              </c:pt>
            </c:strLit>
          </c:cat>
          <c:val>
            <c:numLit>
              <c:formatCode>General</c:formatCode>
              <c:ptCount val="5"/>
              <c:pt idx="0">
                <c:v>31998</c:v>
              </c:pt>
              <c:pt idx="1">
                <c:v>75999</c:v>
              </c:pt>
              <c:pt idx="2">
                <c:v>45999</c:v>
              </c:pt>
              <c:pt idx="3">
                <c:v>32999</c:v>
              </c:pt>
              <c:pt idx="4">
                <c:v>37999</c:v>
              </c:pt>
            </c:numLit>
          </c:val>
          <c:smooth val="0"/>
        </c:ser>
        <c:dLbls>
          <c:showLegendKey val="0"/>
          <c:showVal val="0"/>
          <c:showCatName val="0"/>
          <c:showSerName val="0"/>
          <c:showPercent val="0"/>
          <c:showBubbleSize val="0"/>
        </c:dLbls>
        <c:marker val="1"/>
        <c:smooth val="0"/>
        <c:axId val="209355520"/>
        <c:axId val="209357056"/>
      </c:lineChart>
      <c:catAx>
        <c:axId val="209355520"/>
        <c:scaling>
          <c:orientation val="minMax"/>
        </c:scaling>
        <c:delete val="0"/>
        <c:axPos val="b"/>
        <c:majorTickMark val="out"/>
        <c:minorTickMark val="none"/>
        <c:tickLblPos val="nextTo"/>
        <c:txPr>
          <a:bodyPr/>
          <a:lstStyle/>
          <a:p>
            <a:pPr>
              <a:defRPr b="1"/>
            </a:pPr>
            <a:endParaRPr lang="en-US"/>
          </a:p>
        </c:txPr>
        <c:crossAx val="209357056"/>
        <c:crosses val="autoZero"/>
        <c:auto val="1"/>
        <c:lblAlgn val="ctr"/>
        <c:lblOffset val="100"/>
        <c:noMultiLvlLbl val="0"/>
      </c:catAx>
      <c:valAx>
        <c:axId val="209357056"/>
        <c:scaling>
          <c:orientation val="minMax"/>
        </c:scaling>
        <c:delete val="0"/>
        <c:axPos val="l"/>
        <c:numFmt formatCode="General" sourceLinked="1"/>
        <c:majorTickMark val="out"/>
        <c:minorTickMark val="none"/>
        <c:tickLblPos val="nextTo"/>
        <c:txPr>
          <a:bodyPr/>
          <a:lstStyle/>
          <a:p>
            <a:pPr>
              <a:defRPr b="1"/>
            </a:pPr>
            <a:endParaRPr lang="en-US"/>
          </a:p>
        </c:txPr>
        <c:crossAx val="209355520"/>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30"/>
    </mc:Choice>
    <mc:Fallback>
      <c:style val="30"/>
    </mc:Fallback>
  </mc:AlternateContent>
  <c:chart>
    <c:title>
      <c:tx>
        <c:rich>
          <a:bodyPr/>
          <a:lstStyle/>
          <a:p>
            <a:pPr>
              <a:defRPr/>
            </a:pPr>
            <a:r>
              <a:rPr lang="en-IN"/>
              <a:t>Top 10 Customer</a:t>
            </a:r>
            <a:r>
              <a:rPr lang="en-IN" baseline="0"/>
              <a:t> Report</a:t>
            </a:r>
            <a:endParaRPr lang="en-IN"/>
          </a:p>
        </c:rich>
      </c:tx>
      <c:layout>
        <c:manualLayout>
          <c:xMode val="edge"/>
          <c:yMode val="edge"/>
          <c:x val="0.25268744531933507"/>
          <c:y val="0.12860892388451445"/>
        </c:manualLayout>
      </c:layout>
      <c:overlay val="0"/>
    </c:title>
    <c:autoTitleDeleted val="0"/>
    <c:pivotFmts>
      <c:pivotFmt>
        <c:idx val="0"/>
      </c:pivotFmt>
      <c:pivotFmt>
        <c:idx val="1"/>
        <c:marker>
          <c:symbol val="none"/>
        </c:marker>
      </c:pivotFmt>
      <c:pivotFmt>
        <c:idx val="2"/>
        <c:marker>
          <c:symbol val="none"/>
        </c:marker>
      </c:pivotFmt>
    </c:pivotFmts>
    <c:view3D>
      <c:rotX val="15"/>
      <c:rotY val="20"/>
      <c:rAngAx val="1"/>
    </c:view3D>
    <c:floor>
      <c:thickness val="0"/>
    </c:floor>
    <c:sideWall>
      <c:thickness val="0"/>
    </c:sideWall>
    <c:backWall>
      <c:thickness val="0"/>
    </c:backWall>
    <c:plotArea>
      <c:layout/>
      <c:bar3DChart>
        <c:barDir val="bar"/>
        <c:grouping val="clustered"/>
        <c:varyColors val="0"/>
        <c:ser>
          <c:idx val="0"/>
          <c:order val="0"/>
          <c:tx>
            <c:v>Total</c:v>
          </c:tx>
          <c:invertIfNegative val="0"/>
          <c:cat>
            <c:strLit>
              <c:ptCount val="10"/>
              <c:pt idx="0">
                <c:v>2</c:v>
              </c:pt>
              <c:pt idx="1">
                <c:v>3</c:v>
              </c:pt>
              <c:pt idx="2">
                <c:v>4</c:v>
              </c:pt>
              <c:pt idx="3">
                <c:v>5</c:v>
              </c:pt>
              <c:pt idx="4">
                <c:v>8</c:v>
              </c:pt>
              <c:pt idx="5">
                <c:v>9</c:v>
              </c:pt>
              <c:pt idx="6">
                <c:v>10</c:v>
              </c:pt>
              <c:pt idx="7">
                <c:v>25</c:v>
              </c:pt>
              <c:pt idx="8">
                <c:v>44</c:v>
              </c:pt>
              <c:pt idx="9">
                <c:v>45</c:v>
              </c:pt>
            </c:strLit>
          </c:cat>
          <c:val>
            <c:numLit>
              <c:formatCode>General</c:formatCode>
              <c:ptCount val="10"/>
              <c:pt idx="0">
                <c:v>31998</c:v>
              </c:pt>
              <c:pt idx="1">
                <c:v>75999</c:v>
              </c:pt>
              <c:pt idx="2">
                <c:v>18999</c:v>
              </c:pt>
              <c:pt idx="3">
                <c:v>45999</c:v>
              </c:pt>
              <c:pt idx="4">
                <c:v>28999</c:v>
              </c:pt>
              <c:pt idx="5">
                <c:v>32999</c:v>
              </c:pt>
              <c:pt idx="6">
                <c:v>37999</c:v>
              </c:pt>
              <c:pt idx="7">
                <c:v>25999</c:v>
              </c:pt>
              <c:pt idx="8">
                <c:v>7999</c:v>
              </c:pt>
              <c:pt idx="9">
                <c:v>10999</c:v>
              </c:pt>
            </c:numLit>
          </c:val>
        </c:ser>
        <c:dLbls>
          <c:showLegendKey val="0"/>
          <c:showVal val="0"/>
          <c:showCatName val="0"/>
          <c:showSerName val="0"/>
          <c:showPercent val="0"/>
          <c:showBubbleSize val="0"/>
        </c:dLbls>
        <c:gapWidth val="45"/>
        <c:shape val="box"/>
        <c:axId val="209373824"/>
        <c:axId val="209396096"/>
        <c:axId val="0"/>
      </c:bar3DChart>
      <c:catAx>
        <c:axId val="209373824"/>
        <c:scaling>
          <c:orientation val="minMax"/>
        </c:scaling>
        <c:delete val="0"/>
        <c:axPos val="l"/>
        <c:majorTickMark val="out"/>
        <c:minorTickMark val="none"/>
        <c:tickLblPos val="nextTo"/>
        <c:crossAx val="209396096"/>
        <c:crosses val="autoZero"/>
        <c:auto val="1"/>
        <c:lblAlgn val="ctr"/>
        <c:lblOffset val="100"/>
        <c:noMultiLvlLbl val="0"/>
      </c:catAx>
      <c:valAx>
        <c:axId val="209396096"/>
        <c:scaling>
          <c:orientation val="minMax"/>
        </c:scaling>
        <c:delete val="0"/>
        <c:axPos val="b"/>
        <c:numFmt formatCode="General" sourceLinked="1"/>
        <c:majorTickMark val="out"/>
        <c:minorTickMark val="none"/>
        <c:tickLblPos val="nextTo"/>
        <c:crossAx val="20937382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City</a:t>
            </a:r>
            <a:r>
              <a:rPr lang="en-US" baseline="0"/>
              <a:t> Contribution Report</a:t>
            </a:r>
            <a:endParaRPr lang="en-US"/>
          </a:p>
        </c:rich>
      </c:tx>
      <c:layout>
        <c:manualLayout>
          <c:xMode val="edge"/>
          <c:yMode val="edge"/>
          <c:x val="8.0520919520970236E-2"/>
          <c:y val="5.5555573943087425E-2"/>
        </c:manualLayout>
      </c:layout>
      <c:overlay val="0"/>
    </c:title>
    <c:autoTitleDeleted val="0"/>
    <c:pivotFmts>
      <c:pivotFmt>
        <c:idx val="0"/>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v>Total</c:v>
          </c:tx>
          <c:invertIfNegative val="0"/>
          <c:cat>
            <c:strLit>
              <c:ptCount val="10"/>
              <c:pt idx="0">
                <c:v>Chennai</c:v>
              </c:pt>
              <c:pt idx="1">
                <c:v>Delhi</c:v>
              </c:pt>
              <c:pt idx="2">
                <c:v>Hyderabad</c:v>
              </c:pt>
              <c:pt idx="3">
                <c:v>Jaipur</c:v>
              </c:pt>
              <c:pt idx="4">
                <c:v>Kolkata</c:v>
              </c:pt>
              <c:pt idx="5">
                <c:v>Lucknow</c:v>
              </c:pt>
              <c:pt idx="6">
                <c:v>Mumbai</c:v>
              </c:pt>
              <c:pt idx="7">
                <c:v>Panaji</c:v>
              </c:pt>
              <c:pt idx="8">
                <c:v>Raipur</c:v>
              </c:pt>
              <c:pt idx="9">
                <c:v>Shimla</c:v>
              </c:pt>
            </c:strLit>
          </c:cat>
          <c:val>
            <c:numLit>
              <c:formatCode>General</c:formatCode>
              <c:ptCount val="10"/>
              <c:pt idx="0">
                <c:v>45999</c:v>
              </c:pt>
              <c:pt idx="1">
                <c:v>75999</c:v>
              </c:pt>
              <c:pt idx="2">
                <c:v>18999</c:v>
              </c:pt>
              <c:pt idx="3">
                <c:v>28999</c:v>
              </c:pt>
              <c:pt idx="4">
                <c:v>32999</c:v>
              </c:pt>
              <c:pt idx="5">
                <c:v>37999</c:v>
              </c:pt>
              <c:pt idx="6">
                <c:v>31998</c:v>
              </c:pt>
              <c:pt idx="7">
                <c:v>7999</c:v>
              </c:pt>
              <c:pt idx="8">
                <c:v>25999</c:v>
              </c:pt>
              <c:pt idx="9">
                <c:v>10999</c:v>
              </c:pt>
            </c:numLit>
          </c:val>
        </c:ser>
        <c:dLbls>
          <c:showLegendKey val="0"/>
          <c:showVal val="0"/>
          <c:showCatName val="0"/>
          <c:showSerName val="0"/>
          <c:showPercent val="0"/>
          <c:showBubbleSize val="0"/>
        </c:dLbls>
        <c:gapWidth val="75"/>
        <c:shape val="box"/>
        <c:axId val="209416960"/>
        <c:axId val="209418496"/>
        <c:axId val="0"/>
      </c:bar3DChart>
      <c:catAx>
        <c:axId val="209416960"/>
        <c:scaling>
          <c:orientation val="minMax"/>
        </c:scaling>
        <c:delete val="0"/>
        <c:axPos val="b"/>
        <c:majorTickMark val="out"/>
        <c:minorTickMark val="none"/>
        <c:tickLblPos val="nextTo"/>
        <c:txPr>
          <a:bodyPr/>
          <a:lstStyle/>
          <a:p>
            <a:pPr>
              <a:defRPr b="1"/>
            </a:pPr>
            <a:endParaRPr lang="en-US"/>
          </a:p>
        </c:txPr>
        <c:crossAx val="209418496"/>
        <c:crosses val="autoZero"/>
        <c:auto val="1"/>
        <c:lblAlgn val="ctr"/>
        <c:lblOffset val="100"/>
        <c:noMultiLvlLbl val="0"/>
      </c:catAx>
      <c:valAx>
        <c:axId val="209418496"/>
        <c:scaling>
          <c:orientation val="minMax"/>
        </c:scaling>
        <c:delete val="0"/>
        <c:axPos val="l"/>
        <c:numFmt formatCode="General" sourceLinked="1"/>
        <c:majorTickMark val="out"/>
        <c:minorTickMark val="none"/>
        <c:tickLblPos val="nextTo"/>
        <c:txPr>
          <a:bodyPr/>
          <a:lstStyle/>
          <a:p>
            <a:pPr>
              <a:defRPr b="1"/>
            </a:pPr>
            <a:endParaRPr lang="en-US"/>
          </a:p>
        </c:txPr>
        <c:crossAx val="20941696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3"/>
    </mc:Choice>
    <mc:Fallback>
      <c:style val="3"/>
    </mc:Fallback>
  </mc:AlternateContent>
  <c:pivotSource>
    <c:name>[Daily sales trends reports.xlsx]Pivot Sheet!PivotTable3</c:name>
    <c:fmtId val="6"/>
  </c:pivotSource>
  <c:chart>
    <c:title>
      <c:tx>
        <c:rich>
          <a:bodyPr/>
          <a:lstStyle/>
          <a:p>
            <a:pPr>
              <a:defRPr sz="1800"/>
            </a:pPr>
            <a:r>
              <a:rPr lang="en-IN" sz="1800"/>
              <a:t>Top Performing Region</a:t>
            </a:r>
          </a:p>
        </c:rich>
      </c:tx>
      <c:layout>
        <c:manualLayout>
          <c:xMode val="edge"/>
          <c:yMode val="edge"/>
          <c:x val="0.23996717391458144"/>
          <c:y val="0.10966279518262217"/>
        </c:manualLayout>
      </c:layout>
      <c:overlay val="0"/>
    </c:title>
    <c:autoTitleDeleted val="0"/>
    <c:pivotFmts>
      <c:pivotFmt>
        <c:idx val="0"/>
      </c:pivotFmt>
      <c:pivotFmt>
        <c:idx val="1"/>
      </c:pivotFmt>
      <c:pivotFmt>
        <c:idx val="2"/>
      </c:pivotFmt>
      <c:pivotFmt>
        <c:idx val="3"/>
      </c:pivotFmt>
      <c:pivotFmt>
        <c:idx val="4"/>
        <c:spPr>
          <a:effectLst/>
          <a:scene3d>
            <a:camera prst="orthographicFront"/>
            <a:lightRig rig="threePt" dir="t"/>
          </a:scene3d>
          <a:sp3d>
            <a:bevelT w="6350"/>
          </a:sp3d>
        </c:spPr>
      </c:pivotFmt>
      <c:pivotFmt>
        <c:idx val="5"/>
        <c:spPr>
          <a:effectLst/>
          <a:scene3d>
            <a:camera prst="orthographicFront"/>
            <a:lightRig rig="threePt" dir="t"/>
          </a:scene3d>
          <a:sp3d>
            <a:bevelT w="6350"/>
          </a:sp3d>
        </c:spPr>
        <c:marker>
          <c:symbol val="none"/>
        </c:marker>
      </c:pivotFmt>
      <c:pivotFmt>
        <c:idx val="6"/>
        <c:spPr>
          <a:effectLst/>
          <a:scene3d>
            <a:camera prst="orthographicFront"/>
            <a:lightRig rig="threePt" dir="t"/>
          </a:scene3d>
          <a:sp3d>
            <a:bevelT w="6350"/>
          </a:sp3d>
        </c:spPr>
        <c:marker>
          <c:symbol val="none"/>
        </c:marker>
      </c:pivotFmt>
    </c:pivotFmts>
    <c:plotArea>
      <c:layout/>
      <c:barChart>
        <c:barDir val="col"/>
        <c:grouping val="clustered"/>
        <c:varyColors val="0"/>
        <c:ser>
          <c:idx val="0"/>
          <c:order val="0"/>
          <c:tx>
            <c:strRef>
              <c:f>'Pivot Sheet'!$B$3</c:f>
              <c:strCache>
                <c:ptCount val="1"/>
                <c:pt idx="0">
                  <c:v>Total</c:v>
                </c:pt>
              </c:strCache>
            </c:strRef>
          </c:tx>
          <c:spPr>
            <a:effectLst/>
            <a:scene3d>
              <a:camera prst="orthographicFront"/>
              <a:lightRig rig="threePt" dir="t"/>
            </a:scene3d>
            <a:sp3d>
              <a:bevelT w="6350"/>
            </a:sp3d>
          </c:spPr>
          <c:invertIfNegative val="0"/>
          <c:cat>
            <c:strRef>
              <c:f>'Pivot Sheet'!$A$4:$A$9</c:f>
              <c:strCache>
                <c:ptCount val="5"/>
                <c:pt idx="0">
                  <c:v>Delhi</c:v>
                </c:pt>
                <c:pt idx="1">
                  <c:v>Maharashtra</c:v>
                </c:pt>
                <c:pt idx="2">
                  <c:v>Rajasthan</c:v>
                </c:pt>
                <c:pt idx="3">
                  <c:v>Tamil Nadu</c:v>
                </c:pt>
                <c:pt idx="4">
                  <c:v>Uttar Pradesh</c:v>
                </c:pt>
              </c:strCache>
            </c:strRef>
          </c:cat>
          <c:val>
            <c:numRef>
              <c:f>'Pivot Sheet'!$B$4:$B$9</c:f>
              <c:numCache>
                <c:formatCode>[$₹-4009]\ ##,#00</c:formatCode>
                <c:ptCount val="5"/>
                <c:pt idx="0">
                  <c:v>75999</c:v>
                </c:pt>
                <c:pt idx="1">
                  <c:v>38394</c:v>
                </c:pt>
                <c:pt idx="2">
                  <c:v>35994</c:v>
                </c:pt>
                <c:pt idx="3">
                  <c:v>125096</c:v>
                </c:pt>
                <c:pt idx="4">
                  <c:v>151293</c:v>
                </c:pt>
              </c:numCache>
            </c:numRef>
          </c:val>
        </c:ser>
        <c:dLbls>
          <c:showLegendKey val="0"/>
          <c:showVal val="0"/>
          <c:showCatName val="0"/>
          <c:showSerName val="0"/>
          <c:showPercent val="0"/>
          <c:showBubbleSize val="0"/>
        </c:dLbls>
        <c:gapWidth val="67"/>
        <c:overlap val="100"/>
        <c:axId val="209034624"/>
        <c:axId val="209040512"/>
      </c:barChart>
      <c:catAx>
        <c:axId val="209034624"/>
        <c:scaling>
          <c:orientation val="minMax"/>
        </c:scaling>
        <c:delete val="0"/>
        <c:axPos val="b"/>
        <c:majorTickMark val="out"/>
        <c:minorTickMark val="none"/>
        <c:tickLblPos val="nextTo"/>
        <c:txPr>
          <a:bodyPr/>
          <a:lstStyle/>
          <a:p>
            <a:pPr>
              <a:defRPr b="1"/>
            </a:pPr>
            <a:endParaRPr lang="en-US"/>
          </a:p>
        </c:txPr>
        <c:crossAx val="209040512"/>
        <c:crosses val="autoZero"/>
        <c:auto val="1"/>
        <c:lblAlgn val="ctr"/>
        <c:lblOffset val="100"/>
        <c:noMultiLvlLbl val="0"/>
      </c:catAx>
      <c:valAx>
        <c:axId val="209040512"/>
        <c:scaling>
          <c:orientation val="minMax"/>
        </c:scaling>
        <c:delete val="0"/>
        <c:axPos val="l"/>
        <c:numFmt formatCode="[$₹-4009]\ ##,#00" sourceLinked="1"/>
        <c:majorTickMark val="out"/>
        <c:minorTickMark val="none"/>
        <c:tickLblPos val="nextTo"/>
        <c:crossAx val="20903462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[Daily sales trends reports.xlsx]Pivot Sheet!PivotTable20</c:name>
    <c:fmtId val="20"/>
  </c:pivotSource>
  <c:chart>
    <c:title>
      <c:tx>
        <c:rich>
          <a:bodyPr/>
          <a:lstStyle/>
          <a:p>
            <a:pPr>
              <a:defRPr/>
            </a:pPr>
            <a:r>
              <a:rPr lang="en-IN"/>
              <a:t>Bottom</a:t>
            </a:r>
            <a:r>
              <a:rPr lang="en-IN" baseline="0"/>
              <a:t> Performing Region</a:t>
            </a:r>
            <a:endParaRPr lang="en-IN"/>
          </a:p>
        </c:rich>
      </c:tx>
      <c:layout>
        <c:manualLayout>
          <c:xMode val="edge"/>
          <c:yMode val="edge"/>
          <c:x val="0.1512522316824218"/>
          <c:y val="0.12187106702881229"/>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s>
    <c:plotArea>
      <c:layout>
        <c:manualLayout>
          <c:layoutTarget val="inner"/>
          <c:xMode val="edge"/>
          <c:yMode val="edge"/>
          <c:x val="9.8351519807252485E-2"/>
          <c:y val="0.25335215129486011"/>
          <c:w val="0.50552950282545062"/>
          <c:h val="0.70151962899887066"/>
        </c:manualLayout>
      </c:layout>
      <c:pieChart>
        <c:varyColors val="1"/>
        <c:ser>
          <c:idx val="0"/>
          <c:order val="0"/>
          <c:tx>
            <c:strRef>
              <c:f>'Pivot Sheet'!$N$95</c:f>
              <c:strCache>
                <c:ptCount val="1"/>
                <c:pt idx="0">
                  <c:v>Total</c:v>
                </c:pt>
              </c:strCache>
            </c:strRef>
          </c:tx>
          <c:cat>
            <c:strRef>
              <c:f>'Pivot Sheet'!$M$96:$M$101</c:f>
              <c:strCache>
                <c:ptCount val="5"/>
                <c:pt idx="0">
                  <c:v>Arunachal Pradesh</c:v>
                </c:pt>
                <c:pt idx="1">
                  <c:v>Kerala</c:v>
                </c:pt>
                <c:pt idx="2">
                  <c:v>Meghalaya</c:v>
                </c:pt>
                <c:pt idx="3">
                  <c:v>Nagaland</c:v>
                </c:pt>
                <c:pt idx="4">
                  <c:v>Punjab</c:v>
                </c:pt>
              </c:strCache>
            </c:strRef>
          </c:cat>
          <c:val>
            <c:numRef>
              <c:f>'Pivot Sheet'!$N$96:$N$101</c:f>
              <c:numCache>
                <c:formatCode>General</c:formatCode>
                <c:ptCount val="5"/>
                <c:pt idx="0">
                  <c:v>999</c:v>
                </c:pt>
                <c:pt idx="1">
                  <c:v>349</c:v>
                </c:pt>
                <c:pt idx="2">
                  <c:v>798</c:v>
                </c:pt>
                <c:pt idx="3">
                  <c:v>499</c:v>
                </c:pt>
                <c:pt idx="4">
                  <c:v>899</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10"/>
    </mc:Choice>
    <mc:Fallback>
      <c:style val="10"/>
    </mc:Fallback>
  </mc:AlternateContent>
  <c:pivotSource>
    <c:name>[Daily sales trends reports.xlsx]Pivot Sheet!PivotTable13</c:name>
    <c:fmtId val="8"/>
  </c:pivotSource>
  <c:chart>
    <c:title>
      <c:tx>
        <c:rich>
          <a:bodyPr/>
          <a:lstStyle/>
          <a:p>
            <a:pPr>
              <a:defRPr/>
            </a:pPr>
            <a:r>
              <a:rPr lang="en-US"/>
              <a:t>Sales</a:t>
            </a:r>
            <a:r>
              <a:rPr lang="en-US" baseline="0"/>
              <a:t> By Day Of Week </a:t>
            </a:r>
            <a:endParaRPr lang="en-US"/>
          </a:p>
        </c:rich>
      </c:tx>
      <c:layout/>
      <c:overlay val="0"/>
    </c:title>
    <c:autoTitleDeleted val="0"/>
    <c:pivotFmts>
      <c:pivotFmt>
        <c:idx val="0"/>
      </c:pivotFmt>
      <c:pivotFmt>
        <c:idx val="1"/>
        <c:marker>
          <c:symbol val="none"/>
        </c:marker>
      </c:pivotFmt>
      <c:pivotFmt>
        <c:idx val="2"/>
        <c:marker>
          <c:symbol val="none"/>
        </c:marker>
      </c:pivotFmt>
      <c:pivotFmt>
        <c:idx val="3"/>
        <c:marker>
          <c:symbol val="none"/>
        </c:marker>
      </c:pivotFmt>
      <c:pivotFmt>
        <c:idx val="4"/>
        <c:marker>
          <c:symbol val="none"/>
        </c:marker>
      </c:pivotFmt>
    </c:pivotFmts>
    <c:plotArea>
      <c:layout/>
      <c:doughnutChart>
        <c:varyColors val="1"/>
        <c:ser>
          <c:idx val="0"/>
          <c:order val="0"/>
          <c:tx>
            <c:strRef>
              <c:f>'Pivot Sheet'!$P$53</c:f>
              <c:strCache>
                <c:ptCount val="1"/>
                <c:pt idx="0">
                  <c:v>Total</c:v>
                </c:pt>
              </c:strCache>
            </c:strRef>
          </c:tx>
          <c:cat>
            <c:strRef>
              <c:f>'Pivot Sheet'!$O$54:$O$61</c:f>
              <c:strCache>
                <c:ptCount val="7"/>
                <c:pt idx="0">
                  <c:v>Sunday</c:v>
                </c:pt>
                <c:pt idx="1">
                  <c:v>Monday</c:v>
                </c:pt>
                <c:pt idx="2">
                  <c:v>Tuesday</c:v>
                </c:pt>
                <c:pt idx="3">
                  <c:v>Wednesday</c:v>
                </c:pt>
                <c:pt idx="4">
                  <c:v>Thursday</c:v>
                </c:pt>
                <c:pt idx="5">
                  <c:v>Friday</c:v>
                </c:pt>
                <c:pt idx="6">
                  <c:v>Saturday</c:v>
                </c:pt>
              </c:strCache>
            </c:strRef>
          </c:cat>
          <c:val>
            <c:numRef>
              <c:f>'Pivot Sheet'!$P$54:$P$61</c:f>
              <c:numCache>
                <c:formatCode>[$₹-4009]\ ###,000</c:formatCode>
                <c:ptCount val="7"/>
                <c:pt idx="0">
                  <c:v>21389</c:v>
                </c:pt>
                <c:pt idx="1">
                  <c:v>50690</c:v>
                </c:pt>
                <c:pt idx="2">
                  <c:v>80689</c:v>
                </c:pt>
                <c:pt idx="3">
                  <c:v>135892</c:v>
                </c:pt>
                <c:pt idx="4">
                  <c:v>60892</c:v>
                </c:pt>
                <c:pt idx="5">
                  <c:v>58688</c:v>
                </c:pt>
                <c:pt idx="6">
                  <c:v>10838</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26"/>
    </mc:Choice>
    <mc:Fallback>
      <c:style val="26"/>
    </mc:Fallback>
  </mc:AlternateContent>
  <c:pivotSource>
    <c:name>[Daily sales trends reports.xlsx]Pivot and chart!PivotTable2</c:name>
    <c:fmtId val="3"/>
  </c:pivotSource>
  <c:chart>
    <c:title>
      <c:tx>
        <c:rich>
          <a:bodyPr/>
          <a:lstStyle/>
          <a:p>
            <a:pPr algn="ctr" rtl="0">
              <a:defRPr lang="en-US" sz="1800" b="1" i="0" u="none" strike="noStrike" kern="1200" baseline="0">
                <a:solidFill>
                  <a:sysClr val="windowText" lastClr="000000"/>
                </a:solidFill>
                <a:latin typeface="+mn-lt"/>
                <a:ea typeface="+mn-ea"/>
                <a:cs typeface="+mn-cs"/>
              </a:defRPr>
            </a:pPr>
            <a:r>
              <a:rPr lang="en-US" sz="1800" b="1" i="0" u="none" strike="noStrike" kern="1200" baseline="0">
                <a:solidFill>
                  <a:sysClr val="windowText" lastClr="000000"/>
                </a:solidFill>
                <a:latin typeface="+mn-lt"/>
                <a:ea typeface="+mn-ea"/>
                <a:cs typeface="+mn-cs"/>
              </a:rPr>
              <a:t>Top 5 </a:t>
            </a:r>
            <a:r>
              <a:rPr lang="en-US" sz="1600" b="1" i="0" u="none" strike="noStrike" kern="1200" baseline="0">
                <a:solidFill>
                  <a:sysClr val="windowText" lastClr="000000"/>
                </a:solidFill>
                <a:latin typeface="+mn-lt"/>
                <a:ea typeface="+mn-ea"/>
                <a:cs typeface="+mn-cs"/>
              </a:rPr>
              <a:t>Running </a:t>
            </a:r>
            <a:r>
              <a:rPr lang="en-US" sz="1800" b="1" i="0" u="none" strike="noStrike" kern="1200" baseline="0">
                <a:solidFill>
                  <a:sysClr val="windowText" lastClr="000000"/>
                </a:solidFill>
                <a:latin typeface="+mn-lt"/>
                <a:ea typeface="+mn-ea"/>
                <a:cs typeface="+mn-cs"/>
              </a:rPr>
              <a:t>Total Revenue</a:t>
            </a:r>
          </a:p>
        </c:rich>
      </c:tx>
      <c:layout>
        <c:manualLayout>
          <c:xMode val="edge"/>
          <c:yMode val="edge"/>
          <c:x val="0.12164014072708997"/>
          <c:y val="0.11770986253836914"/>
        </c:manualLayout>
      </c:layout>
      <c:overlay val="0"/>
    </c:title>
    <c:autoTitleDeleted val="0"/>
    <c:pivotFmts>
      <c:pivotFmt>
        <c:idx val="0"/>
      </c:pivotFmt>
      <c:pivotFmt>
        <c:idx val="1"/>
      </c:pivotFmt>
      <c:pivotFmt>
        <c:idx val="2"/>
      </c:pivotFmt>
    </c:pivotFmts>
    <c:plotArea>
      <c:layout/>
      <c:lineChart>
        <c:grouping val="stacked"/>
        <c:varyColors val="0"/>
        <c:ser>
          <c:idx val="0"/>
          <c:order val="0"/>
          <c:tx>
            <c:strRef>
              <c:f>'Pivot and chart'!$B$3</c:f>
              <c:strCache>
                <c:ptCount val="1"/>
                <c:pt idx="0">
                  <c:v>Total</c:v>
                </c:pt>
              </c:strCache>
            </c:strRef>
          </c:tx>
          <c:cat>
            <c:strRef>
              <c:f>'Pivot and chart'!$A$4:$A$9</c:f>
              <c:strCache>
                <c:ptCount val="5"/>
                <c:pt idx="0">
                  <c:v>03-01-2024</c:v>
                </c:pt>
                <c:pt idx="1">
                  <c:v>05-01-2024</c:v>
                </c:pt>
                <c:pt idx="2">
                  <c:v>09-01-2024</c:v>
                </c:pt>
                <c:pt idx="3">
                  <c:v>10-01-2024</c:v>
                </c:pt>
                <c:pt idx="4">
                  <c:v>13-02-2024</c:v>
                </c:pt>
              </c:strCache>
            </c:strRef>
          </c:cat>
          <c:val>
            <c:numRef>
              <c:f>'Pivot and chart'!$B$4:$B$9</c:f>
              <c:numCache>
                <c:formatCode>General</c:formatCode>
                <c:ptCount val="5"/>
                <c:pt idx="0">
                  <c:v>75999</c:v>
                </c:pt>
                <c:pt idx="1">
                  <c:v>45999</c:v>
                </c:pt>
                <c:pt idx="2">
                  <c:v>32999</c:v>
                </c:pt>
                <c:pt idx="3">
                  <c:v>37999</c:v>
                </c:pt>
                <c:pt idx="4">
                  <c:v>100000</c:v>
                </c:pt>
              </c:numCache>
            </c:numRef>
          </c:val>
          <c:smooth val="0"/>
        </c:ser>
        <c:dLbls>
          <c:showLegendKey val="0"/>
          <c:showVal val="0"/>
          <c:showCatName val="0"/>
          <c:showSerName val="0"/>
          <c:showPercent val="0"/>
          <c:showBubbleSize val="0"/>
        </c:dLbls>
        <c:marker val="1"/>
        <c:smooth val="0"/>
        <c:axId val="209123200"/>
        <c:axId val="209124736"/>
      </c:lineChart>
      <c:catAx>
        <c:axId val="209123200"/>
        <c:scaling>
          <c:orientation val="minMax"/>
        </c:scaling>
        <c:delete val="0"/>
        <c:axPos val="b"/>
        <c:majorTickMark val="out"/>
        <c:minorTickMark val="none"/>
        <c:tickLblPos val="nextTo"/>
        <c:txPr>
          <a:bodyPr/>
          <a:lstStyle/>
          <a:p>
            <a:pPr>
              <a:defRPr b="1"/>
            </a:pPr>
            <a:endParaRPr lang="en-US"/>
          </a:p>
        </c:txPr>
        <c:crossAx val="209124736"/>
        <c:crosses val="autoZero"/>
        <c:auto val="1"/>
        <c:lblAlgn val="ctr"/>
        <c:lblOffset val="100"/>
        <c:noMultiLvlLbl val="0"/>
      </c:catAx>
      <c:valAx>
        <c:axId val="209124736"/>
        <c:scaling>
          <c:orientation val="minMax"/>
        </c:scaling>
        <c:delete val="0"/>
        <c:axPos val="l"/>
        <c:numFmt formatCode="General" sourceLinked="1"/>
        <c:majorTickMark val="out"/>
        <c:minorTickMark val="none"/>
        <c:tickLblPos val="nextTo"/>
        <c:crossAx val="209123200"/>
        <c:crosses val="autoZero"/>
        <c:crossBetween val="between"/>
      </c:valAx>
      <c:spPr>
        <a:noFill/>
        <a:ln w="25400">
          <a:noFill/>
        </a:ln>
      </c:spPr>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35"/>
    </mc:Choice>
    <mc:Fallback>
      <c:style val="35"/>
    </mc:Fallback>
  </mc:AlternateContent>
  <c:pivotSource>
    <c:name>[Daily sales trends reports.xlsx]Pivot and chart!PivotTable3</c:name>
    <c:fmtId val="2"/>
  </c:pivotSource>
  <c:chart>
    <c:title>
      <c:tx>
        <c:rich>
          <a:bodyPr/>
          <a:lstStyle/>
          <a:p>
            <a:pPr>
              <a:defRPr/>
            </a:pPr>
            <a:r>
              <a:rPr lang="en-US"/>
              <a:t>Top</a:t>
            </a:r>
            <a:r>
              <a:rPr lang="en-US" baseline="0"/>
              <a:t> 10 Customer Revenue</a:t>
            </a:r>
            <a:endParaRPr lang="en-US"/>
          </a:p>
        </c:rich>
      </c:tx>
      <c:layout>
        <c:manualLayout>
          <c:xMode val="edge"/>
          <c:yMode val="edge"/>
          <c:x val="0.2091929133858268"/>
          <c:y val="0.11871592973955179"/>
        </c:manualLayout>
      </c:layout>
      <c:overlay val="0"/>
    </c:title>
    <c:autoTitleDeleted val="0"/>
    <c:pivotFmts>
      <c:pivotFmt>
        <c:idx val="0"/>
      </c:pivotFmt>
      <c:pivotFmt>
        <c:idx val="1"/>
        <c:marker>
          <c:symbol val="none"/>
        </c:marker>
      </c:pivotFmt>
      <c:pivotFmt>
        <c:idx val="2"/>
        <c:marker>
          <c:symbol val="none"/>
        </c:marker>
      </c:pivotFmt>
    </c:pivotFmts>
    <c:view3D>
      <c:rotX val="15"/>
      <c:rotY val="20"/>
      <c:rAngAx val="1"/>
    </c:view3D>
    <c:floor>
      <c:thickness val="0"/>
    </c:floor>
    <c:sideWall>
      <c:thickness val="0"/>
    </c:sideWall>
    <c:backWall>
      <c:thickness val="0"/>
    </c:backWall>
    <c:plotArea>
      <c:layout/>
      <c:bar3DChart>
        <c:barDir val="bar"/>
        <c:grouping val="clustered"/>
        <c:varyColors val="0"/>
        <c:ser>
          <c:idx val="0"/>
          <c:order val="0"/>
          <c:tx>
            <c:strRef>
              <c:f>'Pivot and chart'!$B$12</c:f>
              <c:strCache>
                <c:ptCount val="1"/>
                <c:pt idx="0">
                  <c:v>Total</c:v>
                </c:pt>
              </c:strCache>
            </c:strRef>
          </c:tx>
          <c:invertIfNegative val="0"/>
          <c:cat>
            <c:strRef>
              <c:f>'Pivot and chart'!$A$13:$A$23</c:f>
              <c:strCache>
                <c:ptCount val="10"/>
                <c:pt idx="0">
                  <c:v>2</c:v>
                </c:pt>
                <c:pt idx="1">
                  <c:v>3</c:v>
                </c:pt>
                <c:pt idx="2">
                  <c:v>5</c:v>
                </c:pt>
                <c:pt idx="3">
                  <c:v>8</c:v>
                </c:pt>
                <c:pt idx="4">
                  <c:v>9</c:v>
                </c:pt>
                <c:pt idx="5">
                  <c:v>10</c:v>
                </c:pt>
                <c:pt idx="6">
                  <c:v>21</c:v>
                </c:pt>
                <c:pt idx="7">
                  <c:v>25</c:v>
                </c:pt>
                <c:pt idx="8">
                  <c:v>34</c:v>
                </c:pt>
                <c:pt idx="9">
                  <c:v>43</c:v>
                </c:pt>
              </c:strCache>
            </c:strRef>
          </c:cat>
          <c:val>
            <c:numRef>
              <c:f>'Pivot and chart'!$B$13:$B$23</c:f>
              <c:numCache>
                <c:formatCode>General</c:formatCode>
                <c:ptCount val="10"/>
                <c:pt idx="0">
                  <c:v>31998</c:v>
                </c:pt>
                <c:pt idx="1">
                  <c:v>75999</c:v>
                </c:pt>
                <c:pt idx="2">
                  <c:v>45999</c:v>
                </c:pt>
                <c:pt idx="3">
                  <c:v>28999</c:v>
                </c:pt>
                <c:pt idx="4">
                  <c:v>32999</c:v>
                </c:pt>
                <c:pt idx="5">
                  <c:v>37999</c:v>
                </c:pt>
                <c:pt idx="6">
                  <c:v>30000</c:v>
                </c:pt>
                <c:pt idx="7">
                  <c:v>25999</c:v>
                </c:pt>
                <c:pt idx="8">
                  <c:v>25098</c:v>
                </c:pt>
                <c:pt idx="9">
                  <c:v>100000</c:v>
                </c:pt>
              </c:numCache>
            </c:numRef>
          </c:val>
        </c:ser>
        <c:dLbls>
          <c:showLegendKey val="0"/>
          <c:showVal val="0"/>
          <c:showCatName val="0"/>
          <c:showSerName val="0"/>
          <c:showPercent val="0"/>
          <c:showBubbleSize val="0"/>
        </c:dLbls>
        <c:gapWidth val="150"/>
        <c:shape val="box"/>
        <c:axId val="209162240"/>
        <c:axId val="209163776"/>
        <c:axId val="0"/>
      </c:bar3DChart>
      <c:catAx>
        <c:axId val="209162240"/>
        <c:scaling>
          <c:orientation val="minMax"/>
        </c:scaling>
        <c:delete val="0"/>
        <c:axPos val="l"/>
        <c:majorTickMark val="out"/>
        <c:minorTickMark val="none"/>
        <c:tickLblPos val="nextTo"/>
        <c:crossAx val="209163776"/>
        <c:crosses val="autoZero"/>
        <c:auto val="1"/>
        <c:lblAlgn val="ctr"/>
        <c:lblOffset val="100"/>
        <c:noMultiLvlLbl val="0"/>
      </c:catAx>
      <c:valAx>
        <c:axId val="209163776"/>
        <c:scaling>
          <c:orientation val="minMax"/>
        </c:scaling>
        <c:delete val="0"/>
        <c:axPos val="b"/>
        <c:numFmt formatCode="General" sourceLinked="1"/>
        <c:majorTickMark val="out"/>
        <c:minorTickMark val="none"/>
        <c:tickLblPos val="nextTo"/>
        <c:crossAx val="20916224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26"/>
    </mc:Choice>
    <mc:Fallback>
      <c:style val="26"/>
    </mc:Fallback>
  </mc:AlternateContent>
  <c:pivotSource>
    <c:name>[Daily sales trends reports.xlsx]Pivot and chart!PivotTable4</c:name>
    <c:fmtId val="3"/>
  </c:pivotSource>
  <c:chart>
    <c:autoTitleDeleted val="1"/>
    <c:pivotFmts>
      <c:pivotFmt>
        <c:idx val="0"/>
      </c:pivotFmt>
      <c:pivotFmt>
        <c:idx val="1"/>
      </c:pivotFmt>
      <c:pivotFmt>
        <c:idx val="2"/>
        <c:marker>
          <c:symbol val="none"/>
        </c:marker>
      </c:pivotFmt>
      <c:pivotFmt>
        <c:idx val="3"/>
        <c:marker>
          <c:symbol val="none"/>
        </c:marker>
      </c:pivotFmt>
    </c:pivotFmts>
    <c:view3D>
      <c:rotX val="15"/>
      <c:rotY val="20"/>
      <c:rAngAx val="1"/>
    </c:view3D>
    <c:floor>
      <c:thickness val="0"/>
    </c:floor>
    <c:sideWall>
      <c:thickness val="0"/>
    </c:sideWall>
    <c:backWall>
      <c:thickness val="0"/>
    </c:backWall>
    <c:plotArea>
      <c:layout>
        <c:manualLayout>
          <c:layoutTarget val="inner"/>
          <c:xMode val="edge"/>
          <c:yMode val="edge"/>
          <c:x val="0.12554396325459319"/>
          <c:y val="0.1429724409448819"/>
          <c:w val="0.76315157480314966"/>
          <c:h val="0.56331073199183435"/>
        </c:manualLayout>
      </c:layout>
      <c:bar3DChart>
        <c:barDir val="col"/>
        <c:grouping val="clustered"/>
        <c:varyColors val="0"/>
        <c:ser>
          <c:idx val="0"/>
          <c:order val="0"/>
          <c:tx>
            <c:strRef>
              <c:f>'Pivot and chart'!$B$26</c:f>
              <c:strCache>
                <c:ptCount val="1"/>
                <c:pt idx="0">
                  <c:v>Total</c:v>
                </c:pt>
              </c:strCache>
            </c:strRef>
          </c:tx>
          <c:invertIfNegative val="0"/>
          <c:cat>
            <c:strRef>
              <c:f>'Pivot and chart'!$A$27:$A$34</c:f>
              <c:strCache>
                <c:ptCount val="7"/>
                <c:pt idx="0">
                  <c:v>Chennai</c:v>
                </c:pt>
                <c:pt idx="1">
                  <c:v>Delhi</c:v>
                </c:pt>
                <c:pt idx="2">
                  <c:v>Ghaziabad</c:v>
                </c:pt>
                <c:pt idx="3">
                  <c:v>Kolkata</c:v>
                </c:pt>
                <c:pt idx="4">
                  <c:v>Lucknow</c:v>
                </c:pt>
                <c:pt idx="5">
                  <c:v>Madurai</c:v>
                </c:pt>
                <c:pt idx="6">
                  <c:v>Mumbai</c:v>
                </c:pt>
              </c:strCache>
            </c:strRef>
          </c:cat>
          <c:val>
            <c:numRef>
              <c:f>'Pivot and chart'!$B$27:$B$34</c:f>
              <c:numCache>
                <c:formatCode>General</c:formatCode>
                <c:ptCount val="7"/>
                <c:pt idx="0">
                  <c:v>45999</c:v>
                </c:pt>
                <c:pt idx="1">
                  <c:v>75999</c:v>
                </c:pt>
                <c:pt idx="2">
                  <c:v>100000</c:v>
                </c:pt>
                <c:pt idx="3">
                  <c:v>32999</c:v>
                </c:pt>
                <c:pt idx="4">
                  <c:v>37999</c:v>
                </c:pt>
                <c:pt idx="5">
                  <c:v>30000</c:v>
                </c:pt>
                <c:pt idx="6">
                  <c:v>31998</c:v>
                </c:pt>
              </c:numCache>
            </c:numRef>
          </c:val>
        </c:ser>
        <c:dLbls>
          <c:showLegendKey val="0"/>
          <c:showVal val="0"/>
          <c:showCatName val="0"/>
          <c:showSerName val="0"/>
          <c:showPercent val="0"/>
          <c:showBubbleSize val="0"/>
        </c:dLbls>
        <c:gapWidth val="150"/>
        <c:shape val="box"/>
        <c:axId val="209172352"/>
        <c:axId val="209173888"/>
        <c:axId val="0"/>
      </c:bar3DChart>
      <c:catAx>
        <c:axId val="209172352"/>
        <c:scaling>
          <c:orientation val="minMax"/>
        </c:scaling>
        <c:delete val="0"/>
        <c:axPos val="b"/>
        <c:majorTickMark val="out"/>
        <c:minorTickMark val="none"/>
        <c:tickLblPos val="nextTo"/>
        <c:txPr>
          <a:bodyPr/>
          <a:lstStyle/>
          <a:p>
            <a:pPr>
              <a:defRPr b="1"/>
            </a:pPr>
            <a:endParaRPr lang="en-US"/>
          </a:p>
        </c:txPr>
        <c:crossAx val="209173888"/>
        <c:crosses val="autoZero"/>
        <c:auto val="1"/>
        <c:lblAlgn val="ctr"/>
        <c:lblOffset val="100"/>
        <c:noMultiLvlLbl val="0"/>
      </c:catAx>
      <c:valAx>
        <c:axId val="209173888"/>
        <c:scaling>
          <c:orientation val="minMax"/>
        </c:scaling>
        <c:delete val="0"/>
        <c:axPos val="l"/>
        <c:numFmt formatCode="General" sourceLinked="1"/>
        <c:majorTickMark val="out"/>
        <c:minorTickMark val="none"/>
        <c:tickLblPos val="nextTo"/>
        <c:txPr>
          <a:bodyPr/>
          <a:lstStyle/>
          <a:p>
            <a:pPr>
              <a:defRPr b="1"/>
            </a:pPr>
            <a:endParaRPr lang="en-US"/>
          </a:p>
        </c:txPr>
        <c:crossAx val="2091723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image" Target="../media/image3.png"/><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image" Target="../media/image2.png"/><Relationship Id="rId16" Type="http://schemas.openxmlformats.org/officeDocument/2006/relationships/chart" Target="../charts/chart17.xml"/><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14</xdr:col>
      <xdr:colOff>133350</xdr:colOff>
      <xdr:row>90</xdr:row>
      <xdr:rowOff>47625</xdr:rowOff>
    </xdr:from>
    <xdr:to>
      <xdr:col>18</xdr:col>
      <xdr:colOff>438150</xdr:colOff>
      <xdr:row>104</xdr:row>
      <xdr:rowOff>123825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504825</xdr:colOff>
      <xdr:row>44</xdr:row>
      <xdr:rowOff>142875</xdr:rowOff>
    </xdr:from>
    <xdr:to>
      <xdr:col>15</xdr:col>
      <xdr:colOff>19050</xdr:colOff>
      <xdr:row>59</xdr:row>
      <xdr:rowOff>28575</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590550</xdr:colOff>
      <xdr:row>21</xdr:row>
      <xdr:rowOff>9525</xdr:rowOff>
    </xdr:from>
    <xdr:to>
      <xdr:col>14</xdr:col>
      <xdr:colOff>690525</xdr:colOff>
      <xdr:row>34</xdr:row>
      <xdr:rowOff>57150</xdr:rowOff>
    </xdr:to>
    <mc:AlternateContent xmlns:mc="http://schemas.openxmlformats.org/markup-compatibility/2006" xmlns:a14="http://schemas.microsoft.com/office/drawing/2010/main">
      <mc:Choice Requires="a14">
        <xdr:graphicFrame macro="">
          <xdr:nvGraphicFramePr>
            <xdr:cNvPr id="1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763250" y="4010025"/>
              <a:ext cx="378615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304800</xdr:colOff>
      <xdr:row>2</xdr:row>
      <xdr:rowOff>19050</xdr:rowOff>
    </xdr:from>
    <xdr:to>
      <xdr:col>6</xdr:col>
      <xdr:colOff>419100</xdr:colOff>
      <xdr:row>8</xdr:row>
      <xdr:rowOff>180974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361950</xdr:colOff>
      <xdr:row>9</xdr:row>
      <xdr:rowOff>180975</xdr:rowOff>
    </xdr:from>
    <xdr:to>
      <xdr:col>10</xdr:col>
      <xdr:colOff>57150</xdr:colOff>
      <xdr:row>22</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28575</xdr:colOff>
      <xdr:row>23</xdr:row>
      <xdr:rowOff>161925</xdr:rowOff>
    </xdr:from>
    <xdr:to>
      <xdr:col>10</xdr:col>
      <xdr:colOff>333375</xdr:colOff>
      <xdr:row>38</xdr:row>
      <xdr:rowOff>47625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314326</xdr:colOff>
      <xdr:row>12</xdr:row>
      <xdr:rowOff>171449</xdr:rowOff>
    </xdr:from>
    <xdr:to>
      <xdr:col>5</xdr:col>
      <xdr:colOff>209550</xdr:colOff>
      <xdr:row>16</xdr:row>
      <xdr:rowOff>19050</xdr:rowOff>
    </xdr:to>
    <xdr:grpSp>
      <xdr:nvGrpSpPr>
        <xdr:cNvPr id="9" name="Group 8"/>
        <xdr:cNvGrpSpPr/>
      </xdr:nvGrpSpPr>
      <xdr:grpSpPr>
        <a:xfrm>
          <a:off x="915905" y="2377238"/>
          <a:ext cx="2301540" cy="582865"/>
          <a:chOff x="2400301" y="1352549"/>
          <a:chExt cx="2333624" cy="685801"/>
        </a:xfrm>
      </xdr:grpSpPr>
      <xdr:grpSp>
        <xdr:nvGrpSpPr>
          <xdr:cNvPr id="7" name="Group 6"/>
          <xdr:cNvGrpSpPr/>
        </xdr:nvGrpSpPr>
        <xdr:grpSpPr>
          <a:xfrm>
            <a:off x="2400301" y="1352549"/>
            <a:ext cx="2333624" cy="685801"/>
            <a:chOff x="2400300" y="1285875"/>
            <a:chExt cx="2343150" cy="723900"/>
          </a:xfrm>
        </xdr:grpSpPr>
        <xdr:grpSp>
          <xdr:nvGrpSpPr>
            <xdr:cNvPr id="4" name="Group 3"/>
            <xdr:cNvGrpSpPr/>
          </xdr:nvGrpSpPr>
          <xdr:grpSpPr>
            <a:xfrm>
              <a:off x="2400300" y="1285875"/>
              <a:ext cx="2343150" cy="723900"/>
              <a:chOff x="2343150" y="1171575"/>
              <a:chExt cx="1543050" cy="600075"/>
            </a:xfrm>
          </xdr:grpSpPr>
          <xdr:sp macro="" textlink="">
            <xdr:nvSpPr>
              <xdr:cNvPr id="2" name="Rounded Rectangle 1"/>
              <xdr:cNvSpPr/>
            </xdr:nvSpPr>
            <xdr:spPr>
              <a:xfrm>
                <a:off x="2343150" y="1171575"/>
                <a:ext cx="1543050" cy="600075"/>
              </a:xfrm>
              <a:prstGeom prst="round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sp macro="" textlink="">
            <xdr:nvSpPr>
              <xdr:cNvPr id="3" name="Rounded Rectangle 2"/>
              <xdr:cNvSpPr/>
            </xdr:nvSpPr>
            <xdr:spPr>
              <a:xfrm>
                <a:off x="2343150" y="1181100"/>
                <a:ext cx="457200" cy="581025"/>
              </a:xfrm>
              <a:prstGeom prst="roundRect">
                <a:avLst/>
              </a:prstGeom>
              <a:solidFill>
                <a:schemeClr val="tx2">
                  <a:lumMod val="75000"/>
                </a:schemeClr>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grpSp>
        <xdr:sp macro="" textlink="">
          <xdr:nvSpPr>
            <xdr:cNvPr id="5" name="TextBox 4"/>
            <xdr:cNvSpPr txBox="1"/>
          </xdr:nvSpPr>
          <xdr:spPr>
            <a:xfrm>
              <a:off x="3152775" y="1314450"/>
              <a:ext cx="1447800" cy="295275"/>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C00000"/>
                  </a:solidFill>
                </a:rPr>
                <a:t>TOTAL</a:t>
              </a:r>
              <a:r>
                <a:rPr lang="en-IN" sz="1400">
                  <a:solidFill>
                    <a:srgbClr val="C00000"/>
                  </a:solidFill>
                </a:rPr>
                <a:t> </a:t>
              </a:r>
              <a:r>
                <a:rPr lang="en-IN" sz="1400" b="1">
                  <a:solidFill>
                    <a:srgbClr val="C00000"/>
                  </a:solidFill>
                </a:rPr>
                <a:t>REVENUE</a:t>
              </a:r>
              <a:endParaRPr lang="en-IN" sz="1100" b="1">
                <a:solidFill>
                  <a:srgbClr val="C00000"/>
                </a:solidFill>
              </a:endParaRPr>
            </a:p>
          </xdr:txBody>
        </xdr:sp>
        <xdr:sp macro="" textlink="">
          <xdr:nvSpPr>
            <xdr:cNvPr id="6" name="TextBox 5"/>
            <xdr:cNvSpPr txBox="1"/>
          </xdr:nvSpPr>
          <xdr:spPr>
            <a:xfrm>
              <a:off x="3219450" y="1581150"/>
              <a:ext cx="1133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 </a:t>
              </a:r>
              <a:r>
                <a:rPr lang="en-IN" sz="1400" b="1" i="0" u="none" strike="noStrike">
                  <a:solidFill>
                    <a:schemeClr val="tx2"/>
                  </a:solidFill>
                  <a:effectLst/>
                  <a:latin typeface="+mn-lt"/>
                  <a:ea typeface="+mn-ea"/>
                  <a:cs typeface="+mn-cs"/>
                </a:rPr>
                <a:t>4,19,078</a:t>
              </a:r>
              <a:r>
                <a:rPr lang="en-IN" sz="1400" b="1"/>
                <a:t> </a:t>
              </a:r>
            </a:p>
          </xdr:txBody>
        </xdr:sp>
      </xdr:grpSp>
      <xdr:pic>
        <xdr:nvPicPr>
          <xdr:cNvPr id="8" name="Picture 7"/>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2495550" y="1460897"/>
            <a:ext cx="485775" cy="485775"/>
          </a:xfrm>
          <a:prstGeom prst="rect">
            <a:avLst/>
          </a:prstGeom>
          <a:ln>
            <a:noFill/>
          </a:ln>
        </xdr:spPr>
      </xdr:pic>
    </xdr:grpSp>
    <xdr:clientData/>
  </xdr:twoCellAnchor>
  <xdr:twoCellAnchor>
    <xdr:from>
      <xdr:col>5</xdr:col>
      <xdr:colOff>495300</xdr:colOff>
      <xdr:row>12</xdr:row>
      <xdr:rowOff>180977</xdr:rowOff>
    </xdr:from>
    <xdr:to>
      <xdr:col>9</xdr:col>
      <xdr:colOff>390524</xdr:colOff>
      <xdr:row>16</xdr:row>
      <xdr:rowOff>19051</xdr:rowOff>
    </xdr:to>
    <xdr:grpSp>
      <xdr:nvGrpSpPr>
        <xdr:cNvPr id="11" name="Group 10"/>
        <xdr:cNvGrpSpPr/>
      </xdr:nvGrpSpPr>
      <xdr:grpSpPr>
        <a:xfrm>
          <a:off x="3503195" y="2386766"/>
          <a:ext cx="2301540" cy="573338"/>
          <a:chOff x="2400300" y="1285876"/>
          <a:chExt cx="2343150" cy="723900"/>
        </a:xfrm>
      </xdr:grpSpPr>
      <xdr:grpSp>
        <xdr:nvGrpSpPr>
          <xdr:cNvPr id="13" name="Group 12"/>
          <xdr:cNvGrpSpPr/>
        </xdr:nvGrpSpPr>
        <xdr:grpSpPr>
          <a:xfrm>
            <a:off x="2400300" y="1285876"/>
            <a:ext cx="2343150" cy="723900"/>
            <a:chOff x="2343150" y="1171576"/>
            <a:chExt cx="1543050" cy="600075"/>
          </a:xfrm>
        </xdr:grpSpPr>
        <xdr:sp macro="" textlink="">
          <xdr:nvSpPr>
            <xdr:cNvPr id="16" name="Rounded Rectangle 15"/>
            <xdr:cNvSpPr/>
          </xdr:nvSpPr>
          <xdr:spPr>
            <a:xfrm>
              <a:off x="2343150" y="1171576"/>
              <a:ext cx="1543050" cy="600075"/>
            </a:xfrm>
            <a:prstGeom prst="round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sp macro="" textlink="">
          <xdr:nvSpPr>
            <xdr:cNvPr id="17" name="Rounded Rectangle 16"/>
            <xdr:cNvSpPr/>
          </xdr:nvSpPr>
          <xdr:spPr>
            <a:xfrm>
              <a:off x="2343150" y="1181100"/>
              <a:ext cx="457200" cy="581025"/>
            </a:xfrm>
            <a:prstGeom prst="roundRect">
              <a:avLst/>
            </a:prstGeom>
            <a:solidFill>
              <a:schemeClr val="tx2">
                <a:lumMod val="75000"/>
              </a:schemeClr>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grpSp>
      <xdr:sp macro="" textlink="">
        <xdr:nvSpPr>
          <xdr:cNvPr id="14" name="TextBox 13"/>
          <xdr:cNvSpPr txBox="1"/>
        </xdr:nvSpPr>
        <xdr:spPr>
          <a:xfrm>
            <a:off x="3152775" y="1314450"/>
            <a:ext cx="1447800" cy="295275"/>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C00000"/>
                </a:solidFill>
              </a:rPr>
              <a:t>TOTAL</a:t>
            </a:r>
            <a:r>
              <a:rPr lang="en-IN" sz="1400">
                <a:solidFill>
                  <a:srgbClr val="C00000"/>
                </a:solidFill>
              </a:rPr>
              <a:t> </a:t>
            </a:r>
            <a:r>
              <a:rPr lang="en-IN" sz="1400" b="1">
                <a:solidFill>
                  <a:srgbClr val="C00000"/>
                </a:solidFill>
              </a:rPr>
              <a:t>ORDERS</a:t>
            </a:r>
            <a:endParaRPr lang="en-IN" sz="1100" b="1">
              <a:solidFill>
                <a:srgbClr val="C00000"/>
              </a:solidFill>
            </a:endParaRPr>
          </a:p>
        </xdr:txBody>
      </xdr:sp>
      <xdr:sp macro="" textlink="">
        <xdr:nvSpPr>
          <xdr:cNvPr id="15" name="TextBox 14"/>
          <xdr:cNvSpPr txBox="1"/>
        </xdr:nvSpPr>
        <xdr:spPr>
          <a:xfrm>
            <a:off x="3219450" y="1581150"/>
            <a:ext cx="1133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tx2"/>
                </a:solidFill>
                <a:effectLst/>
                <a:latin typeface="+mn-lt"/>
                <a:ea typeface="+mn-ea"/>
                <a:cs typeface="+mn-cs"/>
              </a:rPr>
              <a:t>50</a:t>
            </a:r>
            <a:endParaRPr lang="en-IN" sz="1400" b="1">
              <a:solidFill>
                <a:schemeClr val="tx2"/>
              </a:solidFill>
            </a:endParaRPr>
          </a:p>
        </xdr:txBody>
      </xdr:sp>
    </xdr:grpSp>
    <xdr:clientData/>
  </xdr:twoCellAnchor>
  <xdr:twoCellAnchor>
    <xdr:from>
      <xdr:col>10</xdr:col>
      <xdr:colOff>76202</xdr:colOff>
      <xdr:row>12</xdr:row>
      <xdr:rowOff>152401</xdr:rowOff>
    </xdr:from>
    <xdr:to>
      <xdr:col>14</xdr:col>
      <xdr:colOff>238125</xdr:colOff>
      <xdr:row>15</xdr:row>
      <xdr:rowOff>190498</xdr:rowOff>
    </xdr:to>
    <xdr:grpSp>
      <xdr:nvGrpSpPr>
        <xdr:cNvPr id="27" name="Group 26"/>
        <xdr:cNvGrpSpPr/>
      </xdr:nvGrpSpPr>
      <xdr:grpSpPr>
        <a:xfrm>
          <a:off x="6091991" y="2358190"/>
          <a:ext cx="2568239" cy="589545"/>
          <a:chOff x="2400300" y="1262895"/>
          <a:chExt cx="2344629" cy="735389"/>
        </a:xfrm>
      </xdr:grpSpPr>
      <xdr:grpSp>
        <xdr:nvGrpSpPr>
          <xdr:cNvPr id="29" name="Group 28"/>
          <xdr:cNvGrpSpPr/>
        </xdr:nvGrpSpPr>
        <xdr:grpSpPr>
          <a:xfrm>
            <a:off x="2400300" y="1262895"/>
            <a:ext cx="2344629" cy="735389"/>
            <a:chOff x="2343150" y="1152526"/>
            <a:chExt cx="1544024" cy="609599"/>
          </a:xfrm>
        </xdr:grpSpPr>
        <xdr:sp macro="" textlink="">
          <xdr:nvSpPr>
            <xdr:cNvPr id="32" name="Rounded Rectangle 31"/>
            <xdr:cNvSpPr/>
          </xdr:nvSpPr>
          <xdr:spPr>
            <a:xfrm>
              <a:off x="2344124" y="1152526"/>
              <a:ext cx="1543050" cy="600075"/>
            </a:xfrm>
            <a:prstGeom prst="round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sp macro="" textlink="">
          <xdr:nvSpPr>
            <xdr:cNvPr id="33" name="Rounded Rectangle 32"/>
            <xdr:cNvSpPr/>
          </xdr:nvSpPr>
          <xdr:spPr>
            <a:xfrm>
              <a:off x="2343150" y="1181100"/>
              <a:ext cx="457200" cy="581025"/>
            </a:xfrm>
            <a:prstGeom prst="roundRect">
              <a:avLst/>
            </a:prstGeom>
            <a:solidFill>
              <a:schemeClr val="tx2">
                <a:lumMod val="75000"/>
              </a:schemeClr>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grpSp>
      <xdr:sp macro="" textlink="">
        <xdr:nvSpPr>
          <xdr:cNvPr id="30" name="TextBox 29"/>
          <xdr:cNvSpPr txBox="1"/>
        </xdr:nvSpPr>
        <xdr:spPr>
          <a:xfrm>
            <a:off x="3184538" y="1308856"/>
            <a:ext cx="1382523" cy="31024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solidFill>
                  <a:srgbClr val="C00000"/>
                </a:solidFill>
              </a:rPr>
              <a:t>TOTAL</a:t>
            </a:r>
            <a:r>
              <a:rPr lang="en-IN" sz="1400">
                <a:solidFill>
                  <a:srgbClr val="C00000"/>
                </a:solidFill>
              </a:rPr>
              <a:t> </a:t>
            </a:r>
            <a:r>
              <a:rPr lang="en-IN" sz="1400" b="1">
                <a:solidFill>
                  <a:srgbClr val="C00000"/>
                </a:solidFill>
              </a:rPr>
              <a:t>QUANTITY</a:t>
            </a:r>
            <a:endParaRPr lang="en-IN" sz="1100" b="1">
              <a:solidFill>
                <a:srgbClr val="C00000"/>
              </a:solidFill>
            </a:endParaRPr>
          </a:p>
        </xdr:txBody>
      </xdr:sp>
      <xdr:sp macro="" textlink="">
        <xdr:nvSpPr>
          <xdr:cNvPr id="31" name="TextBox 30"/>
          <xdr:cNvSpPr txBox="1"/>
        </xdr:nvSpPr>
        <xdr:spPr>
          <a:xfrm>
            <a:off x="3224513" y="1592641"/>
            <a:ext cx="1133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tx2"/>
                </a:solidFill>
                <a:effectLst/>
                <a:latin typeface="+mn-lt"/>
                <a:ea typeface="+mn-ea"/>
                <a:cs typeface="+mn-cs"/>
              </a:rPr>
              <a:t>72</a:t>
            </a:r>
            <a:endParaRPr lang="en-IN" sz="1400" b="1">
              <a:solidFill>
                <a:schemeClr val="tx2"/>
              </a:solidFill>
            </a:endParaRPr>
          </a:p>
        </xdr:txBody>
      </xdr:sp>
    </xdr:grpSp>
    <xdr:clientData/>
  </xdr:twoCellAnchor>
  <xdr:twoCellAnchor>
    <xdr:from>
      <xdr:col>14</xdr:col>
      <xdr:colOff>523876</xdr:colOff>
      <xdr:row>12</xdr:row>
      <xdr:rowOff>142876</xdr:rowOff>
    </xdr:from>
    <xdr:to>
      <xdr:col>18</xdr:col>
      <xdr:colOff>599340</xdr:colOff>
      <xdr:row>15</xdr:row>
      <xdr:rowOff>171450</xdr:rowOff>
    </xdr:to>
    <xdr:grpSp>
      <xdr:nvGrpSpPr>
        <xdr:cNvPr id="43" name="Group 42"/>
        <xdr:cNvGrpSpPr/>
      </xdr:nvGrpSpPr>
      <xdr:grpSpPr>
        <a:xfrm>
          <a:off x="8945981" y="2348665"/>
          <a:ext cx="2481780" cy="580022"/>
          <a:chOff x="2400300" y="1285876"/>
          <a:chExt cx="2343150" cy="723900"/>
        </a:xfrm>
      </xdr:grpSpPr>
      <xdr:grpSp>
        <xdr:nvGrpSpPr>
          <xdr:cNvPr id="45" name="Group 44"/>
          <xdr:cNvGrpSpPr/>
        </xdr:nvGrpSpPr>
        <xdr:grpSpPr>
          <a:xfrm>
            <a:off x="2400300" y="1285876"/>
            <a:ext cx="2343150" cy="723900"/>
            <a:chOff x="2343150" y="1171576"/>
            <a:chExt cx="1543050" cy="600075"/>
          </a:xfrm>
        </xdr:grpSpPr>
        <xdr:sp macro="" textlink="">
          <xdr:nvSpPr>
            <xdr:cNvPr id="48" name="Rounded Rectangle 47"/>
            <xdr:cNvSpPr/>
          </xdr:nvSpPr>
          <xdr:spPr>
            <a:xfrm>
              <a:off x="2343150" y="1171576"/>
              <a:ext cx="1543050" cy="600075"/>
            </a:xfrm>
            <a:prstGeom prst="round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sp macro="" textlink="">
          <xdr:nvSpPr>
            <xdr:cNvPr id="49" name="Rounded Rectangle 48"/>
            <xdr:cNvSpPr/>
          </xdr:nvSpPr>
          <xdr:spPr>
            <a:xfrm>
              <a:off x="2343150" y="1181100"/>
              <a:ext cx="457200" cy="581025"/>
            </a:xfrm>
            <a:prstGeom prst="roundRect">
              <a:avLst/>
            </a:prstGeom>
            <a:solidFill>
              <a:schemeClr val="tx2">
                <a:lumMod val="75000"/>
              </a:schemeClr>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grpSp>
      <xdr:sp macro="" textlink="">
        <xdr:nvSpPr>
          <xdr:cNvPr id="46" name="TextBox 45"/>
          <xdr:cNvSpPr txBox="1"/>
        </xdr:nvSpPr>
        <xdr:spPr>
          <a:xfrm>
            <a:off x="3119431" y="1320346"/>
            <a:ext cx="1509286" cy="333224"/>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C00000"/>
                </a:solidFill>
              </a:rPr>
              <a:t>AVG</a:t>
            </a:r>
            <a:r>
              <a:rPr lang="en-IN" sz="1400" b="1" baseline="0">
                <a:solidFill>
                  <a:srgbClr val="C00000"/>
                </a:solidFill>
              </a:rPr>
              <a:t> ORDER</a:t>
            </a:r>
            <a:r>
              <a:rPr lang="en-IN" sz="1400" b="1" baseline="0">
                <a:solidFill>
                  <a:schemeClr val="tx2"/>
                </a:solidFill>
              </a:rPr>
              <a:t> </a:t>
            </a:r>
            <a:r>
              <a:rPr lang="en-IN" sz="1400" b="1" baseline="0">
                <a:solidFill>
                  <a:srgbClr val="C00000"/>
                </a:solidFill>
              </a:rPr>
              <a:t>VALUE</a:t>
            </a:r>
            <a:endParaRPr lang="en-IN" sz="1100" b="1">
              <a:solidFill>
                <a:srgbClr val="C00000"/>
              </a:solidFill>
            </a:endParaRPr>
          </a:p>
        </xdr:txBody>
      </xdr:sp>
      <xdr:sp macro="" textlink="">
        <xdr:nvSpPr>
          <xdr:cNvPr id="47" name="TextBox 46"/>
          <xdr:cNvSpPr txBox="1"/>
        </xdr:nvSpPr>
        <xdr:spPr>
          <a:xfrm>
            <a:off x="3219450" y="1581150"/>
            <a:ext cx="1133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IN" sz="1400" b="1" i="0" u="none" strike="noStrike">
                <a:solidFill>
                  <a:schemeClr val="tx2"/>
                </a:solidFill>
                <a:effectLst/>
                <a:latin typeface="+mn-lt"/>
                <a:ea typeface="+mn-ea"/>
                <a:cs typeface="+mn-cs"/>
              </a:rPr>
              <a:t>2,36,808</a:t>
            </a:r>
            <a:r>
              <a:rPr lang="en-IN" sz="1100" b="0" i="0" u="none" strike="noStrike">
                <a:solidFill>
                  <a:schemeClr val="dk1"/>
                </a:solidFill>
                <a:effectLst/>
                <a:latin typeface="+mn-lt"/>
                <a:ea typeface="+mn-ea"/>
                <a:cs typeface="+mn-cs"/>
              </a:rPr>
              <a:t>                                          </a:t>
            </a:r>
            <a:endParaRPr lang="en-IN" sz="1400" b="1" i="0" u="none" strike="noStrike">
              <a:solidFill>
                <a:schemeClr val="dk1"/>
              </a:solidFill>
              <a:effectLst/>
              <a:latin typeface="+mn-lt"/>
              <a:ea typeface="+mn-ea"/>
              <a:cs typeface="+mn-cs"/>
            </a:endParaRPr>
          </a:p>
          <a:p>
            <a:pPr algn="ctr"/>
            <a:r>
              <a:rPr lang="en-IN" sz="1100" b="0" i="0" u="none" strike="noStrike">
                <a:solidFill>
                  <a:schemeClr val="dk1"/>
                </a:solidFill>
                <a:effectLst/>
                <a:latin typeface="+mn-lt"/>
                <a:ea typeface="+mn-ea"/>
                <a:cs typeface="+mn-cs"/>
              </a:rPr>
              <a:t>                                    </a:t>
            </a:r>
            <a:endParaRPr lang="en-IN" sz="1400" b="1">
              <a:solidFill>
                <a:schemeClr val="tx2"/>
              </a:solidFill>
            </a:endParaRPr>
          </a:p>
        </xdr:txBody>
      </xdr:sp>
    </xdr:grpSp>
    <xdr:clientData/>
  </xdr:twoCellAnchor>
  <xdr:twoCellAnchor editAs="oneCell">
    <xdr:from>
      <xdr:col>5</xdr:col>
      <xdr:colOff>580057</xdr:colOff>
      <xdr:row>13</xdr:row>
      <xdr:rowOff>95250</xdr:rowOff>
    </xdr:from>
    <xdr:to>
      <xdr:col>6</xdr:col>
      <xdr:colOff>457199</xdr:colOff>
      <xdr:row>15</xdr:row>
      <xdr:rowOff>142874</xdr:rowOff>
    </xdr:to>
    <xdr:pic>
      <xdr:nvPicPr>
        <xdr:cNvPr id="50" name="Picture 49"/>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3628057" y="2571750"/>
          <a:ext cx="486742" cy="428624"/>
        </a:xfrm>
        <a:prstGeom prst="rect">
          <a:avLst/>
        </a:prstGeom>
      </xdr:spPr>
    </xdr:pic>
    <xdr:clientData/>
  </xdr:twoCellAnchor>
  <xdr:twoCellAnchor editAs="oneCell">
    <xdr:from>
      <xdr:col>10</xdr:col>
      <xdr:colOff>199411</xdr:colOff>
      <xdr:row>13</xdr:row>
      <xdr:rowOff>19052</xdr:rowOff>
    </xdr:from>
    <xdr:to>
      <xdr:col>11</xdr:col>
      <xdr:colOff>114300</xdr:colOff>
      <xdr:row>15</xdr:row>
      <xdr:rowOff>103848</xdr:rowOff>
    </xdr:to>
    <xdr:pic>
      <xdr:nvPicPr>
        <xdr:cNvPr id="51" name="Picture 50"/>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flipH="1">
          <a:off x="6295411" y="2495552"/>
          <a:ext cx="524489" cy="465796"/>
        </a:xfrm>
        <a:prstGeom prst="rect">
          <a:avLst/>
        </a:prstGeom>
      </xdr:spPr>
    </xdr:pic>
    <xdr:clientData/>
  </xdr:twoCellAnchor>
  <xdr:twoCellAnchor editAs="oneCell">
    <xdr:from>
      <xdr:col>15</xdr:col>
      <xdr:colOff>38101</xdr:colOff>
      <xdr:row>13</xdr:row>
      <xdr:rowOff>57151</xdr:rowOff>
    </xdr:from>
    <xdr:to>
      <xdr:col>15</xdr:col>
      <xdr:colOff>495300</xdr:colOff>
      <xdr:row>15</xdr:row>
      <xdr:rowOff>85724</xdr:rowOff>
    </xdr:to>
    <xdr:pic>
      <xdr:nvPicPr>
        <xdr:cNvPr id="52" name="Picture 51"/>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9182101" y="2533651"/>
          <a:ext cx="457199" cy="409573"/>
        </a:xfrm>
        <a:prstGeom prst="rect">
          <a:avLst/>
        </a:prstGeom>
      </xdr:spPr>
    </xdr:pic>
    <xdr:clientData/>
  </xdr:twoCellAnchor>
  <xdr:twoCellAnchor>
    <xdr:from>
      <xdr:col>1</xdr:col>
      <xdr:colOff>295274</xdr:colOff>
      <xdr:row>8</xdr:row>
      <xdr:rowOff>133349</xdr:rowOff>
    </xdr:from>
    <xdr:to>
      <xdr:col>19</xdr:col>
      <xdr:colOff>19049</xdr:colOff>
      <xdr:row>11</xdr:row>
      <xdr:rowOff>114300</xdr:rowOff>
    </xdr:to>
    <xdr:grpSp>
      <xdr:nvGrpSpPr>
        <xdr:cNvPr id="55" name="Group 54"/>
        <xdr:cNvGrpSpPr/>
      </xdr:nvGrpSpPr>
      <xdr:grpSpPr>
        <a:xfrm>
          <a:off x="896853" y="1603875"/>
          <a:ext cx="10552196" cy="532399"/>
          <a:chOff x="904874" y="1657349"/>
          <a:chExt cx="10696575" cy="552451"/>
        </a:xfrm>
      </xdr:grpSpPr>
      <xdr:sp macro="" textlink="">
        <xdr:nvSpPr>
          <xdr:cNvPr id="53" name="Rounded Rectangle 52"/>
          <xdr:cNvSpPr/>
        </xdr:nvSpPr>
        <xdr:spPr>
          <a:xfrm>
            <a:off x="904874" y="1657350"/>
            <a:ext cx="10696575" cy="552450"/>
          </a:xfrm>
          <a:prstGeom prst="round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xdr:cNvSpPr txBox="1"/>
        </xdr:nvSpPr>
        <xdr:spPr>
          <a:xfrm>
            <a:off x="3457574" y="1657349"/>
            <a:ext cx="536257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rgbClr val="002060"/>
                </a:solidFill>
              </a:rPr>
              <a:t>DAILY SALES TREND</a:t>
            </a:r>
            <a:r>
              <a:rPr lang="en-IN" sz="2800" b="1">
                <a:solidFill>
                  <a:srgbClr val="002060"/>
                </a:solidFill>
              </a:rPr>
              <a:t> </a:t>
            </a:r>
            <a:r>
              <a:rPr lang="en-IN" sz="3200" b="1">
                <a:solidFill>
                  <a:srgbClr val="002060"/>
                </a:solidFill>
              </a:rPr>
              <a:t>REPORT</a:t>
            </a:r>
            <a:endParaRPr lang="en-IN" sz="2800" b="1">
              <a:solidFill>
                <a:srgbClr val="002060"/>
              </a:solidFill>
            </a:endParaRPr>
          </a:p>
        </xdr:txBody>
      </xdr:sp>
    </xdr:grpSp>
    <xdr:clientData/>
  </xdr:twoCellAnchor>
  <xdr:twoCellAnchor>
    <xdr:from>
      <xdr:col>1</xdr:col>
      <xdr:colOff>276225</xdr:colOff>
      <xdr:row>17</xdr:row>
      <xdr:rowOff>66674</xdr:rowOff>
    </xdr:from>
    <xdr:to>
      <xdr:col>7</xdr:col>
      <xdr:colOff>152400</xdr:colOff>
      <xdr:row>33</xdr:row>
      <xdr:rowOff>114300</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371475</xdr:colOff>
      <xdr:row>17</xdr:row>
      <xdr:rowOff>66675</xdr:rowOff>
    </xdr:from>
    <xdr:to>
      <xdr:col>13</xdr:col>
      <xdr:colOff>266700</xdr:colOff>
      <xdr:row>33</xdr:row>
      <xdr:rowOff>114299</xdr:rowOff>
    </xdr:to>
    <xdr:graphicFrame macro="">
      <xdr:nvGraphicFramePr>
        <xdr:cNvPr id="57" name="Chart 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491611</xdr:colOff>
      <xdr:row>17</xdr:row>
      <xdr:rowOff>81935</xdr:rowOff>
    </xdr:from>
    <xdr:to>
      <xdr:col>19</xdr:col>
      <xdr:colOff>389193</xdr:colOff>
      <xdr:row>33</xdr:row>
      <xdr:rowOff>112662</xdr:rowOff>
    </xdr:to>
    <xdr:graphicFrame macro="">
      <xdr:nvGraphicFramePr>
        <xdr:cNvPr id="58" name="Chart 5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256048</xdr:colOff>
      <xdr:row>34</xdr:row>
      <xdr:rowOff>163872</xdr:rowOff>
    </xdr:from>
    <xdr:to>
      <xdr:col>7</xdr:col>
      <xdr:colOff>194597</xdr:colOff>
      <xdr:row>50</xdr:row>
      <xdr:rowOff>112661</xdr:rowOff>
    </xdr:to>
    <xdr:graphicFrame macro="">
      <xdr:nvGraphicFramePr>
        <xdr:cNvPr id="59" name="Chart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409676</xdr:colOff>
      <xdr:row>34</xdr:row>
      <xdr:rowOff>184355</xdr:rowOff>
    </xdr:from>
    <xdr:to>
      <xdr:col>14</xdr:col>
      <xdr:colOff>112660</xdr:colOff>
      <xdr:row>50</xdr:row>
      <xdr:rowOff>133145</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348225</xdr:colOff>
      <xdr:row>35</xdr:row>
      <xdr:rowOff>10241</xdr:rowOff>
    </xdr:from>
    <xdr:to>
      <xdr:col>19</xdr:col>
      <xdr:colOff>450646</xdr:colOff>
      <xdr:row>50</xdr:row>
      <xdr:rowOff>112660</xdr:rowOff>
    </xdr:to>
    <xdr:graphicFrame macro="">
      <xdr:nvGraphicFramePr>
        <xdr:cNvPr id="63" name="Chart 6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26</xdr:col>
      <xdr:colOff>314326</xdr:colOff>
      <xdr:row>77</xdr:row>
      <xdr:rowOff>171449</xdr:rowOff>
    </xdr:from>
    <xdr:to>
      <xdr:col>30</xdr:col>
      <xdr:colOff>387281</xdr:colOff>
      <xdr:row>81</xdr:row>
      <xdr:rowOff>19050</xdr:rowOff>
    </xdr:to>
    <xdr:grpSp>
      <xdr:nvGrpSpPr>
        <xdr:cNvPr id="64" name="Group 63"/>
        <xdr:cNvGrpSpPr/>
      </xdr:nvGrpSpPr>
      <xdr:grpSpPr>
        <a:xfrm>
          <a:off x="15955379" y="14325265"/>
          <a:ext cx="2479270" cy="582864"/>
          <a:chOff x="2400301" y="1352548"/>
          <a:chExt cx="2333624" cy="685801"/>
        </a:xfrm>
      </xdr:grpSpPr>
      <xdr:grpSp>
        <xdr:nvGrpSpPr>
          <xdr:cNvPr id="65" name="Group 64"/>
          <xdr:cNvGrpSpPr/>
        </xdr:nvGrpSpPr>
        <xdr:grpSpPr>
          <a:xfrm>
            <a:off x="2400301" y="1352548"/>
            <a:ext cx="2333624" cy="685801"/>
            <a:chOff x="2400300" y="1285875"/>
            <a:chExt cx="2343150" cy="723900"/>
          </a:xfrm>
        </xdr:grpSpPr>
        <xdr:grpSp>
          <xdr:nvGrpSpPr>
            <xdr:cNvPr id="67" name="Group 66"/>
            <xdr:cNvGrpSpPr/>
          </xdr:nvGrpSpPr>
          <xdr:grpSpPr>
            <a:xfrm>
              <a:off x="2400300" y="1285875"/>
              <a:ext cx="2343150" cy="723900"/>
              <a:chOff x="2343150" y="1171574"/>
              <a:chExt cx="1543050" cy="600075"/>
            </a:xfrm>
          </xdr:grpSpPr>
          <xdr:sp macro="" textlink="">
            <xdr:nvSpPr>
              <xdr:cNvPr id="70" name="Rounded Rectangle 69"/>
              <xdr:cNvSpPr/>
            </xdr:nvSpPr>
            <xdr:spPr>
              <a:xfrm>
                <a:off x="2343150" y="1171574"/>
                <a:ext cx="1543050" cy="600075"/>
              </a:xfrm>
              <a:prstGeom prst="round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sp macro="" textlink="">
            <xdr:nvSpPr>
              <xdr:cNvPr id="71" name="Rounded Rectangle 70"/>
              <xdr:cNvSpPr/>
            </xdr:nvSpPr>
            <xdr:spPr>
              <a:xfrm>
                <a:off x="2343150" y="1181100"/>
                <a:ext cx="457200" cy="581025"/>
              </a:xfrm>
              <a:prstGeom prst="roundRect">
                <a:avLst/>
              </a:prstGeom>
              <a:solidFill>
                <a:schemeClr val="tx2">
                  <a:lumMod val="75000"/>
                </a:schemeClr>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grpSp>
        <xdr:sp macro="" textlink="">
          <xdr:nvSpPr>
            <xdr:cNvPr id="68" name="TextBox 67"/>
            <xdr:cNvSpPr txBox="1"/>
          </xdr:nvSpPr>
          <xdr:spPr>
            <a:xfrm>
              <a:off x="3152775" y="1314450"/>
              <a:ext cx="1447800" cy="295275"/>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C00000"/>
                  </a:solidFill>
                </a:rPr>
                <a:t>TOTAL</a:t>
              </a:r>
              <a:r>
                <a:rPr lang="en-IN" sz="1400">
                  <a:solidFill>
                    <a:srgbClr val="C00000"/>
                  </a:solidFill>
                </a:rPr>
                <a:t> </a:t>
              </a:r>
              <a:r>
                <a:rPr lang="en-IN" sz="1400" b="1">
                  <a:solidFill>
                    <a:srgbClr val="C00000"/>
                  </a:solidFill>
                </a:rPr>
                <a:t>REVENUE</a:t>
              </a:r>
              <a:endParaRPr lang="en-IN" sz="1100" b="1">
                <a:solidFill>
                  <a:srgbClr val="C00000"/>
                </a:solidFill>
              </a:endParaRPr>
            </a:p>
          </xdr:txBody>
        </xdr:sp>
        <xdr:sp macro="" textlink="'Data sheet'!Q3">
          <xdr:nvSpPr>
            <xdr:cNvPr id="69" name="TextBox 68"/>
            <xdr:cNvSpPr txBox="1"/>
          </xdr:nvSpPr>
          <xdr:spPr>
            <a:xfrm>
              <a:off x="3364034" y="1615875"/>
              <a:ext cx="1133475" cy="280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A89F0A-9516-453F-A1D9-4E04976F37C8}" type="TxLink">
                <a:rPr lang="en-US" sz="1400" b="1">
                  <a:solidFill>
                    <a:schemeClr val="tx2"/>
                  </a:solidFill>
                </a:rPr>
                <a:pPr/>
                <a:t>₹ 5,88,781</a:t>
              </a:fld>
              <a:endParaRPr lang="en-US" sz="1400" b="1">
                <a:solidFill>
                  <a:schemeClr val="tx2"/>
                </a:solidFill>
              </a:endParaRPr>
            </a:p>
          </xdr:txBody>
        </xdr:sp>
      </xdr:grpSp>
      <xdr:pic>
        <xdr:nvPicPr>
          <xdr:cNvPr id="66" name="Picture 65"/>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2495550" y="1460897"/>
            <a:ext cx="485775" cy="485775"/>
          </a:xfrm>
          <a:prstGeom prst="rect">
            <a:avLst/>
          </a:prstGeom>
          <a:ln>
            <a:noFill/>
          </a:ln>
        </xdr:spPr>
      </xdr:pic>
    </xdr:grpSp>
    <xdr:clientData/>
  </xdr:twoCellAnchor>
  <xdr:twoCellAnchor>
    <xdr:from>
      <xdr:col>30</xdr:col>
      <xdr:colOff>547634</xdr:colOff>
      <xdr:row>78</xdr:row>
      <xdr:rowOff>3038</xdr:rowOff>
    </xdr:from>
    <xdr:to>
      <xdr:col>34</xdr:col>
      <xdr:colOff>565219</xdr:colOff>
      <xdr:row>81</xdr:row>
      <xdr:rowOff>29518</xdr:rowOff>
    </xdr:to>
    <xdr:grpSp>
      <xdr:nvGrpSpPr>
        <xdr:cNvPr id="72" name="Group 71"/>
        <xdr:cNvGrpSpPr/>
      </xdr:nvGrpSpPr>
      <xdr:grpSpPr>
        <a:xfrm>
          <a:off x="18595002" y="14340670"/>
          <a:ext cx="2423901" cy="577927"/>
          <a:chOff x="2400300" y="1285876"/>
          <a:chExt cx="2343150" cy="723900"/>
        </a:xfrm>
      </xdr:grpSpPr>
      <xdr:grpSp>
        <xdr:nvGrpSpPr>
          <xdr:cNvPr id="73" name="Group 72"/>
          <xdr:cNvGrpSpPr/>
        </xdr:nvGrpSpPr>
        <xdr:grpSpPr>
          <a:xfrm>
            <a:off x="2400300" y="1285876"/>
            <a:ext cx="2343150" cy="723900"/>
            <a:chOff x="2343150" y="1171576"/>
            <a:chExt cx="1543050" cy="600075"/>
          </a:xfrm>
        </xdr:grpSpPr>
        <xdr:sp macro="" textlink="">
          <xdr:nvSpPr>
            <xdr:cNvPr id="76" name="Rounded Rectangle 75"/>
            <xdr:cNvSpPr/>
          </xdr:nvSpPr>
          <xdr:spPr>
            <a:xfrm>
              <a:off x="2343150" y="1171576"/>
              <a:ext cx="1543050" cy="600075"/>
            </a:xfrm>
            <a:prstGeom prst="round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sp macro="" textlink="">
          <xdr:nvSpPr>
            <xdr:cNvPr id="77" name="Rounded Rectangle 76"/>
            <xdr:cNvSpPr/>
          </xdr:nvSpPr>
          <xdr:spPr>
            <a:xfrm>
              <a:off x="2343150" y="1181100"/>
              <a:ext cx="457200" cy="581025"/>
            </a:xfrm>
            <a:prstGeom prst="roundRect">
              <a:avLst/>
            </a:prstGeom>
            <a:solidFill>
              <a:schemeClr val="tx2">
                <a:lumMod val="75000"/>
              </a:schemeClr>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grpSp>
      <xdr:sp macro="" textlink="">
        <xdr:nvSpPr>
          <xdr:cNvPr id="74" name="TextBox 73"/>
          <xdr:cNvSpPr txBox="1"/>
        </xdr:nvSpPr>
        <xdr:spPr>
          <a:xfrm>
            <a:off x="3152775" y="1314450"/>
            <a:ext cx="1447800" cy="295275"/>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C00000"/>
                </a:solidFill>
              </a:rPr>
              <a:t>TOTAL</a:t>
            </a:r>
            <a:r>
              <a:rPr lang="en-IN" sz="1400">
                <a:solidFill>
                  <a:srgbClr val="C00000"/>
                </a:solidFill>
              </a:rPr>
              <a:t> </a:t>
            </a:r>
            <a:r>
              <a:rPr lang="en-IN" sz="1400" b="1">
                <a:solidFill>
                  <a:srgbClr val="C00000"/>
                </a:solidFill>
              </a:rPr>
              <a:t>ORDERS</a:t>
            </a:r>
            <a:endParaRPr lang="en-IN" sz="1100" b="1">
              <a:solidFill>
                <a:srgbClr val="C00000"/>
              </a:solidFill>
            </a:endParaRPr>
          </a:p>
        </xdr:txBody>
      </xdr:sp>
      <xdr:sp macro="" textlink="'Data sheet'!Q6">
        <xdr:nvSpPr>
          <xdr:cNvPr id="75" name="TextBox 74"/>
          <xdr:cNvSpPr txBox="1"/>
        </xdr:nvSpPr>
        <xdr:spPr>
          <a:xfrm>
            <a:off x="3219450" y="1581151"/>
            <a:ext cx="1133475" cy="334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8F13E14-2EEE-4810-9AB3-3084F60447DB}" type="TxLink">
              <a:rPr lang="en-IN" sz="1400" b="1">
                <a:solidFill>
                  <a:schemeClr val="tx2"/>
                </a:solidFill>
              </a:rPr>
              <a:pPr algn="ctr"/>
              <a:t>98</a:t>
            </a:fld>
            <a:endParaRPr lang="en-IN" sz="1400" b="1">
              <a:solidFill>
                <a:schemeClr val="tx2"/>
              </a:solidFill>
            </a:endParaRPr>
          </a:p>
        </xdr:txBody>
      </xdr:sp>
    </xdr:grpSp>
    <xdr:clientData/>
  </xdr:twoCellAnchor>
  <xdr:twoCellAnchor editAs="oneCell">
    <xdr:from>
      <xdr:col>30</xdr:col>
      <xdr:colOff>580057</xdr:colOff>
      <xdr:row>78</xdr:row>
      <xdr:rowOff>95250</xdr:rowOff>
    </xdr:from>
    <xdr:to>
      <xdr:col>31</xdr:col>
      <xdr:colOff>457199</xdr:colOff>
      <xdr:row>80</xdr:row>
      <xdr:rowOff>142875</xdr:rowOff>
    </xdr:to>
    <xdr:pic>
      <xdr:nvPicPr>
        <xdr:cNvPr id="90" name="Picture 89"/>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3587952" y="2484855"/>
          <a:ext cx="478721" cy="415256"/>
        </a:xfrm>
        <a:prstGeom prst="rect">
          <a:avLst/>
        </a:prstGeom>
      </xdr:spPr>
    </xdr:pic>
    <xdr:clientData/>
  </xdr:twoCellAnchor>
  <xdr:twoCellAnchor>
    <xdr:from>
      <xdr:col>35</xdr:col>
      <xdr:colOff>107604</xdr:colOff>
      <xdr:row>77</xdr:row>
      <xdr:rowOff>162868</xdr:rowOff>
    </xdr:from>
    <xdr:to>
      <xdr:col>39</xdr:col>
      <xdr:colOff>460550</xdr:colOff>
      <xdr:row>81</xdr:row>
      <xdr:rowOff>17149</xdr:rowOff>
    </xdr:to>
    <xdr:grpSp>
      <xdr:nvGrpSpPr>
        <xdr:cNvPr id="12" name="Group 11"/>
        <xdr:cNvGrpSpPr/>
      </xdr:nvGrpSpPr>
      <xdr:grpSpPr>
        <a:xfrm>
          <a:off x="21162867" y="14316684"/>
          <a:ext cx="2759262" cy="589544"/>
          <a:chOff x="21324279" y="14659709"/>
          <a:chExt cx="2590275" cy="607907"/>
        </a:xfrm>
      </xdr:grpSpPr>
      <xdr:grpSp>
        <xdr:nvGrpSpPr>
          <xdr:cNvPr id="78" name="Group 77"/>
          <xdr:cNvGrpSpPr/>
        </xdr:nvGrpSpPr>
        <xdr:grpSpPr>
          <a:xfrm>
            <a:off x="21324279" y="14659709"/>
            <a:ext cx="2590275" cy="607907"/>
            <a:chOff x="2400300" y="1262895"/>
            <a:chExt cx="2344629" cy="735389"/>
          </a:xfrm>
        </xdr:grpSpPr>
        <xdr:grpSp>
          <xdr:nvGrpSpPr>
            <xdr:cNvPr id="79" name="Group 78"/>
            <xdr:cNvGrpSpPr/>
          </xdr:nvGrpSpPr>
          <xdr:grpSpPr>
            <a:xfrm>
              <a:off x="2400300" y="1262895"/>
              <a:ext cx="2344629" cy="735389"/>
              <a:chOff x="2343150" y="1152526"/>
              <a:chExt cx="1544024" cy="609599"/>
            </a:xfrm>
          </xdr:grpSpPr>
          <xdr:sp macro="" textlink="">
            <xdr:nvSpPr>
              <xdr:cNvPr id="82" name="Rounded Rectangle 81"/>
              <xdr:cNvSpPr/>
            </xdr:nvSpPr>
            <xdr:spPr>
              <a:xfrm>
                <a:off x="2344124" y="1152526"/>
                <a:ext cx="1543050" cy="600075"/>
              </a:xfrm>
              <a:prstGeom prst="round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sp macro="" textlink="">
            <xdr:nvSpPr>
              <xdr:cNvPr id="83" name="Rounded Rectangle 82"/>
              <xdr:cNvSpPr/>
            </xdr:nvSpPr>
            <xdr:spPr>
              <a:xfrm>
                <a:off x="2343150" y="1181100"/>
                <a:ext cx="457200" cy="581025"/>
              </a:xfrm>
              <a:prstGeom prst="roundRect">
                <a:avLst/>
              </a:prstGeom>
              <a:solidFill>
                <a:schemeClr val="tx2">
                  <a:lumMod val="75000"/>
                </a:schemeClr>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grpSp>
        <xdr:sp macro="" textlink="">
          <xdr:nvSpPr>
            <xdr:cNvPr id="80" name="TextBox 79"/>
            <xdr:cNvSpPr txBox="1"/>
          </xdr:nvSpPr>
          <xdr:spPr>
            <a:xfrm>
              <a:off x="3184538" y="1308856"/>
              <a:ext cx="1382523" cy="31024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solidFill>
                    <a:srgbClr val="C00000"/>
                  </a:solidFill>
                </a:rPr>
                <a:t>TOTAL</a:t>
              </a:r>
              <a:r>
                <a:rPr lang="en-IN" sz="1400">
                  <a:solidFill>
                    <a:srgbClr val="C00000"/>
                  </a:solidFill>
                </a:rPr>
                <a:t> </a:t>
              </a:r>
              <a:r>
                <a:rPr lang="en-IN" sz="1400" b="1">
                  <a:solidFill>
                    <a:srgbClr val="C00000"/>
                  </a:solidFill>
                </a:rPr>
                <a:t>QUANTITY</a:t>
              </a:r>
              <a:endParaRPr lang="en-IN" sz="1100" b="1">
                <a:solidFill>
                  <a:srgbClr val="C00000"/>
                </a:solidFill>
              </a:endParaRPr>
            </a:p>
          </xdr:txBody>
        </xdr:sp>
        <xdr:sp macro="" textlink="'Data sheet'!Q9">
          <xdr:nvSpPr>
            <xdr:cNvPr id="81" name="TextBox 80"/>
            <xdr:cNvSpPr txBox="1"/>
          </xdr:nvSpPr>
          <xdr:spPr>
            <a:xfrm>
              <a:off x="3224513" y="1592641"/>
              <a:ext cx="1133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E55937B-1FBF-4175-B83B-0000AE751767}" type="TxLink">
                <a:rPr lang="en-IN" sz="1400" b="1">
                  <a:solidFill>
                    <a:schemeClr val="tx2"/>
                  </a:solidFill>
                </a:rPr>
                <a:pPr algn="ctr"/>
                <a:t>140</a:t>
              </a:fld>
              <a:endParaRPr lang="en-IN" sz="1400" b="1">
                <a:solidFill>
                  <a:schemeClr val="tx2"/>
                </a:solidFill>
              </a:endParaRPr>
            </a:p>
          </xdr:txBody>
        </xdr:sp>
      </xdr:grpSp>
      <xdr:pic>
        <xdr:nvPicPr>
          <xdr:cNvPr id="91" name="Picture 90"/>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flipH="1">
            <a:off x="21447488" y="14714766"/>
            <a:ext cx="521977" cy="461610"/>
          </a:xfrm>
          <a:prstGeom prst="rect">
            <a:avLst/>
          </a:prstGeom>
        </xdr:spPr>
      </xdr:pic>
    </xdr:grpSp>
    <xdr:clientData/>
  </xdr:twoCellAnchor>
  <xdr:twoCellAnchor>
    <xdr:from>
      <xdr:col>39</xdr:col>
      <xdr:colOff>586153</xdr:colOff>
      <xdr:row>77</xdr:row>
      <xdr:rowOff>146539</xdr:rowOff>
    </xdr:from>
    <xdr:to>
      <xdr:col>44</xdr:col>
      <xdr:colOff>355881</xdr:colOff>
      <xdr:row>81</xdr:row>
      <xdr:rowOff>14445</xdr:rowOff>
    </xdr:to>
    <xdr:grpSp>
      <xdr:nvGrpSpPr>
        <xdr:cNvPr id="10" name="Group 9"/>
        <xdr:cNvGrpSpPr/>
      </xdr:nvGrpSpPr>
      <xdr:grpSpPr>
        <a:xfrm>
          <a:off x="24047732" y="14300355"/>
          <a:ext cx="2777623" cy="603169"/>
          <a:chOff x="24200305" y="14650184"/>
          <a:chExt cx="2689503" cy="593793"/>
        </a:xfrm>
      </xdr:grpSpPr>
      <xdr:grpSp>
        <xdr:nvGrpSpPr>
          <xdr:cNvPr id="84" name="Group 83"/>
          <xdr:cNvGrpSpPr/>
        </xdr:nvGrpSpPr>
        <xdr:grpSpPr>
          <a:xfrm>
            <a:off x="24200305" y="14650184"/>
            <a:ext cx="2689503" cy="593793"/>
            <a:chOff x="2400300" y="1285876"/>
            <a:chExt cx="2343150" cy="723900"/>
          </a:xfrm>
        </xdr:grpSpPr>
        <xdr:grpSp>
          <xdr:nvGrpSpPr>
            <xdr:cNvPr id="85" name="Group 84"/>
            <xdr:cNvGrpSpPr/>
          </xdr:nvGrpSpPr>
          <xdr:grpSpPr>
            <a:xfrm>
              <a:off x="2400300" y="1285876"/>
              <a:ext cx="2343150" cy="723900"/>
              <a:chOff x="2343150" y="1171576"/>
              <a:chExt cx="1543050" cy="600075"/>
            </a:xfrm>
          </xdr:grpSpPr>
          <xdr:sp macro="" textlink="">
            <xdr:nvSpPr>
              <xdr:cNvPr id="88" name="Rounded Rectangle 87"/>
              <xdr:cNvSpPr/>
            </xdr:nvSpPr>
            <xdr:spPr>
              <a:xfrm>
                <a:off x="2343150" y="1171576"/>
                <a:ext cx="1543050" cy="600075"/>
              </a:xfrm>
              <a:prstGeom prst="round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sp macro="" textlink="">
            <xdr:nvSpPr>
              <xdr:cNvPr id="89" name="Rounded Rectangle 88"/>
              <xdr:cNvSpPr/>
            </xdr:nvSpPr>
            <xdr:spPr>
              <a:xfrm>
                <a:off x="2343150" y="1181100"/>
                <a:ext cx="457200" cy="581025"/>
              </a:xfrm>
              <a:prstGeom prst="roundRect">
                <a:avLst/>
              </a:prstGeom>
              <a:solidFill>
                <a:schemeClr val="tx2">
                  <a:lumMod val="75000"/>
                </a:schemeClr>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grpSp>
        <xdr:sp macro="" textlink="">
          <xdr:nvSpPr>
            <xdr:cNvPr id="86" name="TextBox 85"/>
            <xdr:cNvSpPr txBox="1"/>
          </xdr:nvSpPr>
          <xdr:spPr>
            <a:xfrm>
              <a:off x="3119431" y="1320346"/>
              <a:ext cx="1509286" cy="333224"/>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C00000"/>
                  </a:solidFill>
                </a:rPr>
                <a:t>AVG</a:t>
              </a:r>
              <a:r>
                <a:rPr lang="en-IN" sz="1400" b="1" baseline="0">
                  <a:solidFill>
                    <a:srgbClr val="C00000"/>
                  </a:solidFill>
                </a:rPr>
                <a:t> ORDER</a:t>
              </a:r>
              <a:r>
                <a:rPr lang="en-IN" sz="1400" b="1" baseline="0">
                  <a:solidFill>
                    <a:schemeClr val="tx2"/>
                  </a:solidFill>
                </a:rPr>
                <a:t> </a:t>
              </a:r>
              <a:r>
                <a:rPr lang="en-IN" sz="1400" b="1" baseline="0">
                  <a:solidFill>
                    <a:srgbClr val="C00000"/>
                  </a:solidFill>
                </a:rPr>
                <a:t>VALUE</a:t>
              </a:r>
              <a:endParaRPr lang="en-IN" sz="1100" b="1">
                <a:solidFill>
                  <a:srgbClr val="C00000"/>
                </a:solidFill>
              </a:endParaRPr>
            </a:p>
          </xdr:txBody>
        </xdr:sp>
        <xdr:sp macro="" textlink="'Data sheet'!Q13">
          <xdr:nvSpPr>
            <xdr:cNvPr id="87" name="TextBox 86"/>
            <xdr:cNvSpPr txBox="1"/>
          </xdr:nvSpPr>
          <xdr:spPr>
            <a:xfrm>
              <a:off x="3230011" y="1624935"/>
              <a:ext cx="1133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fld id="{B0009E39-C2ED-442B-8283-C7C879088C9D}" type="TxLink">
                <a:rPr lang="en-IN" sz="1400" b="1" i="0" u="none" strike="noStrike">
                  <a:solidFill>
                    <a:schemeClr val="tx2"/>
                  </a:solidFill>
                  <a:effectLst/>
                  <a:latin typeface="+mn-lt"/>
                  <a:ea typeface="+mn-ea"/>
                  <a:cs typeface="+mn-cs"/>
                </a:rPr>
                <a:pPr marL="0" marR="0" indent="0" algn="ctr" defTabSz="914400" eaLnBrk="1" fontAlgn="auto" latinLnBrk="0" hangingPunct="1">
                  <a:lnSpc>
                    <a:spcPct val="100000"/>
                  </a:lnSpc>
                  <a:spcBef>
                    <a:spcPts val="0"/>
                  </a:spcBef>
                  <a:spcAft>
                    <a:spcPts val="0"/>
                  </a:spcAft>
                  <a:buClrTx/>
                  <a:buSzTx/>
                  <a:buFontTx/>
                  <a:buNone/>
                  <a:tabLst/>
                  <a:defRPr/>
                </a:pPr>
                <a:t>₹ 2,26,142</a:t>
              </a:fld>
              <a:endParaRPr lang="en-IN" sz="1400" b="1">
                <a:solidFill>
                  <a:schemeClr val="tx2"/>
                </a:solidFill>
              </a:endParaRPr>
            </a:p>
          </xdr:txBody>
        </xdr:sp>
      </xdr:grpSp>
      <xdr:pic>
        <xdr:nvPicPr>
          <xdr:cNvPr id="92" name="Picture 91"/>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24321617" y="14752865"/>
            <a:ext cx="457199" cy="405387"/>
          </a:xfrm>
          <a:prstGeom prst="rect">
            <a:avLst/>
          </a:prstGeom>
        </xdr:spPr>
      </xdr:pic>
    </xdr:grpSp>
    <xdr:clientData/>
  </xdr:twoCellAnchor>
  <xdr:twoCellAnchor>
    <xdr:from>
      <xdr:col>26</xdr:col>
      <xdr:colOff>295274</xdr:colOff>
      <xdr:row>73</xdr:row>
      <xdr:rowOff>133349</xdr:rowOff>
    </xdr:from>
    <xdr:to>
      <xdr:col>44</xdr:col>
      <xdr:colOff>322621</xdr:colOff>
      <xdr:row>76</xdr:row>
      <xdr:rowOff>114300</xdr:rowOff>
    </xdr:to>
    <xdr:grpSp>
      <xdr:nvGrpSpPr>
        <xdr:cNvPr id="93" name="Group 92"/>
        <xdr:cNvGrpSpPr/>
      </xdr:nvGrpSpPr>
      <xdr:grpSpPr>
        <a:xfrm>
          <a:off x="15936327" y="13551902"/>
          <a:ext cx="10855768" cy="532398"/>
          <a:chOff x="904874" y="1657349"/>
          <a:chExt cx="10696575" cy="552451"/>
        </a:xfrm>
        <a:solidFill>
          <a:srgbClr val="002060"/>
        </a:solidFill>
      </xdr:grpSpPr>
      <xdr:sp macro="" textlink="">
        <xdr:nvSpPr>
          <xdr:cNvPr id="94" name="Rounded Rectangle 93"/>
          <xdr:cNvSpPr/>
        </xdr:nvSpPr>
        <xdr:spPr>
          <a:xfrm>
            <a:off x="904874" y="1657350"/>
            <a:ext cx="10696575" cy="5524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95" name="TextBox 94"/>
          <xdr:cNvSpPr txBox="1"/>
        </xdr:nvSpPr>
        <xdr:spPr>
          <a:xfrm>
            <a:off x="3457574" y="1657349"/>
            <a:ext cx="5362575" cy="4667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bg1"/>
                </a:solidFill>
              </a:rPr>
              <a:t>   DAILY SALES TREND</a:t>
            </a:r>
            <a:r>
              <a:rPr lang="en-IN" sz="2800" b="1">
                <a:solidFill>
                  <a:schemeClr val="bg1"/>
                </a:solidFill>
              </a:rPr>
              <a:t> </a:t>
            </a:r>
            <a:r>
              <a:rPr lang="en-IN" sz="3200" b="1">
                <a:solidFill>
                  <a:schemeClr val="bg1"/>
                </a:solidFill>
              </a:rPr>
              <a:t>REPORT</a:t>
            </a:r>
            <a:endParaRPr lang="en-IN" sz="2800" b="1">
              <a:solidFill>
                <a:schemeClr val="bg1"/>
              </a:solidFill>
            </a:endParaRPr>
          </a:p>
        </xdr:txBody>
      </xdr:sp>
    </xdr:grpSp>
    <xdr:clientData/>
  </xdr:twoCellAnchor>
  <xdr:twoCellAnchor>
    <xdr:from>
      <xdr:col>26</xdr:col>
      <xdr:colOff>276225</xdr:colOff>
      <xdr:row>82</xdr:row>
      <xdr:rowOff>66674</xdr:rowOff>
    </xdr:from>
    <xdr:to>
      <xdr:col>32</xdr:col>
      <xdr:colOff>152400</xdr:colOff>
      <xdr:row>98</xdr:row>
      <xdr:rowOff>114300</xdr:rowOff>
    </xdr:to>
    <xdr:graphicFrame macro="">
      <xdr:nvGraphicFramePr>
        <xdr:cNvPr id="96" name="Chart 9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32</xdr:col>
      <xdr:colOff>371475</xdr:colOff>
      <xdr:row>82</xdr:row>
      <xdr:rowOff>66675</xdr:rowOff>
    </xdr:from>
    <xdr:to>
      <xdr:col>38</xdr:col>
      <xdr:colOff>266700</xdr:colOff>
      <xdr:row>98</xdr:row>
      <xdr:rowOff>114299</xdr:rowOff>
    </xdr:to>
    <xdr:graphicFrame macro="">
      <xdr:nvGraphicFramePr>
        <xdr:cNvPr id="97" name="Chart 9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38</xdr:col>
      <xdr:colOff>491611</xdr:colOff>
      <xdr:row>82</xdr:row>
      <xdr:rowOff>81935</xdr:rowOff>
    </xdr:from>
    <xdr:to>
      <xdr:col>44</xdr:col>
      <xdr:colOff>389193</xdr:colOff>
      <xdr:row>98</xdr:row>
      <xdr:rowOff>112662</xdr:rowOff>
    </xdr:to>
    <xdr:graphicFrame macro="">
      <xdr:nvGraphicFramePr>
        <xdr:cNvPr id="98" name="Chart 9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26</xdr:col>
      <xdr:colOff>254000</xdr:colOff>
      <xdr:row>100</xdr:row>
      <xdr:rowOff>0</xdr:rowOff>
    </xdr:from>
    <xdr:to>
      <xdr:col>32</xdr:col>
      <xdr:colOff>177800</xdr:colOff>
      <xdr:row>115</xdr:row>
      <xdr:rowOff>139700</xdr:rowOff>
    </xdr:to>
    <xdr:graphicFrame macro="">
      <xdr:nvGraphicFramePr>
        <xdr:cNvPr id="103" name="Chart 10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32</xdr:col>
      <xdr:colOff>355600</xdr:colOff>
      <xdr:row>100</xdr:row>
      <xdr:rowOff>25400</xdr:rowOff>
    </xdr:from>
    <xdr:to>
      <xdr:col>38</xdr:col>
      <xdr:colOff>495300</xdr:colOff>
      <xdr:row>115</xdr:row>
      <xdr:rowOff>139700</xdr:rowOff>
    </xdr:to>
    <xdr:graphicFrame macro="">
      <xdr:nvGraphicFramePr>
        <xdr:cNvPr id="104" name="Chart 10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39</xdr:col>
      <xdr:colOff>38100</xdr:colOff>
      <xdr:row>100</xdr:row>
      <xdr:rowOff>25400</xdr:rowOff>
    </xdr:from>
    <xdr:to>
      <xdr:col>44</xdr:col>
      <xdr:colOff>419100</xdr:colOff>
      <xdr:row>115</xdr:row>
      <xdr:rowOff>152400</xdr:rowOff>
    </xdr:to>
    <xdr:graphicFrame macro="">
      <xdr:nvGraphicFramePr>
        <xdr:cNvPr id="105" name="Chart 10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ELCOT" refreshedDate="46114.049557060185" createdVersion="4" refreshedVersion="4" minRefreshableVersion="3" recordCount="50">
  <cacheSource type="worksheet">
    <worksheetSource ref="K46:L96" sheet="Pivot Sheet"/>
  </cacheSource>
  <cacheFields count="2">
    <cacheField name="Order Day" numFmtId="0">
      <sharedItems count="7">
        <s v="Monday"/>
        <s v="Tuesday"/>
        <s v="Wednesday"/>
        <s v="Thursday"/>
        <s v="Friday"/>
        <s v="Saturday"/>
        <s v="Sunday"/>
      </sharedItems>
    </cacheField>
    <cacheField name="Sum of Total Revenue" numFmtId="0">
      <sharedItems containsSemiMixedTypes="0" containsString="0" containsNumber="1" containsInteger="1" minValue="349" maxValue="75999"/>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ELCOT" refreshedDate="46114.149803935186" createdVersion="4" refreshedVersion="4" minRefreshableVersion="3" recordCount="50">
  <cacheSource type="worksheet">
    <worksheetSource ref="T1:U51" sheet="Data sheet"/>
  </cacheSource>
  <cacheFields count="2">
    <cacheField name="Customer_id" numFmtId="0">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Total Revenue" numFmtId="0">
      <sharedItems containsSemiMixedTypes="0" containsString="0" containsNumber="1" containsInteger="1" minValue="349" maxValue="7599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ELCOT" refreshedDate="46114.502153472225" createdVersion="4" refreshedVersion="4" minRefreshableVersion="3" recordCount="50">
  <cacheSource type="worksheet">
    <worksheetSource ref="Q1:R51" sheet="Data sheet"/>
  </cacheSource>
  <cacheFields count="2">
    <cacheField name="Order_date" numFmtId="14">
      <sharedItems containsSemiMixedTypes="0" containsNonDate="0" containsDate="1" containsString="0" minDate="2024-01-01T00:00:00" maxDate="2024-02-21T00:00:00" count="5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sharedItems>
    </cacheField>
    <cacheField name="Total Revenue" numFmtId="0">
      <sharedItems containsSemiMixedTypes="0" containsString="0" containsNumber="1" containsInteger="1" minValue="349" maxValue="7599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ELCOT" refreshedDate="46114.545203935188" createdVersion="4" refreshedVersion="4" minRefreshableVersion="3" recordCount="50">
  <cacheSource type="worksheet">
    <worksheetSource ref="A1:O51" sheet="Data sheet"/>
  </cacheSource>
  <cacheFields count="15">
    <cacheField name="Order_id" numFmtId="0">
      <sharedItems containsSemiMixedTypes="0" containsString="0" containsNumber="1" containsInteger="1" minValue="101" maxValue="150"/>
    </cacheField>
    <cacheField name="Order_date" numFmtId="14">
      <sharedItems containsSemiMixedTypes="0" containsNonDate="0" containsDate="1" containsString="0" minDate="2024-01-01T00:00:00" maxDate="2024-02-21T00:00:00" count="5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sharedItems>
    </cacheField>
    <cacheField name="Order_id2" numFmtId="0">
      <sharedItems containsSemiMixedTypes="0" containsString="0" containsNumber="1" containsInteger="1" minValue="101" maxValue="150"/>
    </cacheField>
    <cacheField name="Order_date2" numFmtId="14">
      <sharedItems containsSemiMixedTypes="0" containsNonDate="0" containsDate="1" containsString="0" minDate="2024-01-01T00:00:00" maxDate="2024-02-21T00:00:00"/>
    </cacheField>
    <cacheField name="Customer_id" numFmtId="0">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City" numFmtId="0">
      <sharedItems count="50">
        <s v="Bengaluru"/>
        <s v="Mumbai"/>
        <s v="Delhi"/>
        <s v="Hyderabad"/>
        <s v="Chennai"/>
        <s v="Pune"/>
        <s v="Ahmedabad"/>
        <s v="Jaipur"/>
        <s v="Kolkata"/>
        <s v="Lucknow"/>
        <s v="Bhopal"/>
        <s v="Patna"/>
        <s v="Chandigarh"/>
        <s v="Nagpur"/>
        <s v="Indore"/>
        <s v="Surat"/>
        <s v="Visakhapatnam"/>
        <s v="Coimbatore"/>
        <s v="Mysuru"/>
        <s v="Thiruvananthapuram"/>
        <s v="Madurai"/>
        <s v="Vijayawada"/>
        <s v="Guwahati"/>
        <s v="Ranchi"/>
        <s v="Raipur"/>
        <s v="Jodhpur"/>
        <s v="Amritsar"/>
        <s v="Dehradun"/>
        <s v="Agra"/>
        <s v="Varanasi"/>
        <s v="Hubballi"/>
        <s v="Mangaluru"/>
        <s v="Tiruchirappalli"/>
        <s v="Salem"/>
        <s v="Udaipur"/>
        <s v="Gwalior"/>
        <s v="Jamshedpur"/>
        <s v="Dhanbad"/>
        <s v="Kota"/>
        <s v="Aligarh"/>
        <s v="Noida"/>
        <s v="Faridabad"/>
        <s v="Ghaziabad"/>
        <s v="Panaji"/>
        <s v="Shimla"/>
        <s v="Imphal"/>
        <s v="Aizawl"/>
        <s v="Shillong"/>
        <s v="Kohima"/>
        <s v="Itanagar"/>
      </sharedItems>
    </cacheField>
    <cacheField name="Region" numFmtId="0">
      <sharedItems count="27">
        <s v="Karnataka"/>
        <s v="Maharashtra"/>
        <s v="Delhi"/>
        <s v="Telangana"/>
        <s v="Tamil Nadu"/>
        <s v="Gujarat"/>
        <s v="Rajasthan"/>
        <s v="West Bengal"/>
        <s v="Uttar Pradesh"/>
        <s v="Madhya Pradesh"/>
        <s v="Bihar"/>
        <s v="Chandigarh"/>
        <s v="Andhra Pradesh"/>
        <s v="Kerala"/>
        <s v="Assam"/>
        <s v="Jharkhand"/>
        <s v="Chhattisgarh"/>
        <s v="Punjab"/>
        <s v="Uttarakhand"/>
        <s v="Haryana"/>
        <s v="Goa"/>
        <s v="Himachal Pradesh"/>
        <s v="Manipur"/>
        <s v="Mizoram"/>
        <s v="Meghalaya"/>
        <s v="Nagaland"/>
        <s v="Arunachal Pradesh"/>
      </sharedItems>
    </cacheField>
    <cacheField name="Product_id" numFmtId="0">
      <sharedItems containsSemiMixedTypes="0" containsString="0" containsNumber="1" containsInteger="1" minValue="1" maxValue="50"/>
    </cacheField>
    <cacheField name="Quantity" numFmtId="0">
      <sharedItems containsSemiMixedTypes="0" containsString="0" containsNumber="1" containsInteger="1" minValue="1" maxValue="3"/>
    </cacheField>
    <cacheField name="Price" numFmtId="0">
      <sharedItems containsSemiMixedTypes="0" containsString="0" containsNumber="1" containsInteger="1" minValue="299" maxValue="75999"/>
    </cacheField>
    <cacheField name="Total Revenue" numFmtId="0">
      <sharedItems containsSemiMixedTypes="0" containsString="0" containsNumber="1" containsInteger="1" minValue="349" maxValue="100000"/>
    </cacheField>
    <cacheField name="Total Quantity" numFmtId="0">
      <sharedItems containsSemiMixedTypes="0" containsString="0" containsNumber="1" containsInteger="1" minValue="1" maxValue="8"/>
    </cacheField>
    <cacheField name="Total orders" numFmtId="0">
      <sharedItems containsSemiMixedTypes="0" containsString="0" containsNumber="1" containsInteger="1" minValue="1" maxValue="6"/>
    </cacheField>
    <cacheField name="Average Order value" numFmtId="0">
      <sharedItems containsMixedTypes="1" containsNumber="1" containsInteger="1" minValue="349" maxValue="75999"/>
    </cacheField>
    <cacheField name="% Contributions"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x v="0"/>
    <n v="4999"/>
  </r>
  <r>
    <x v="1"/>
    <n v="31998"/>
  </r>
  <r>
    <x v="2"/>
    <n v="75999"/>
  </r>
  <r>
    <x v="3"/>
    <n v="18999"/>
  </r>
  <r>
    <x v="4"/>
    <n v="45999"/>
  </r>
  <r>
    <x v="5"/>
    <n v="3897"/>
  </r>
  <r>
    <x v="6"/>
    <n v="6998"/>
  </r>
  <r>
    <x v="0"/>
    <n v="28999"/>
  </r>
  <r>
    <x v="1"/>
    <n v="32999"/>
  </r>
  <r>
    <x v="2"/>
    <n v="37999"/>
  </r>
  <r>
    <x v="3"/>
    <n v="1598"/>
  </r>
  <r>
    <x v="4"/>
    <n v="1499"/>
  </r>
  <r>
    <x v="5"/>
    <n v="1998"/>
  </r>
  <r>
    <x v="6"/>
    <n v="2499"/>
  </r>
  <r>
    <x v="0"/>
    <n v="3299"/>
  </r>
  <r>
    <x v="1"/>
    <n v="2799"/>
  </r>
  <r>
    <x v="2"/>
    <n v="4398"/>
  </r>
  <r>
    <x v="3"/>
    <n v="1999"/>
  </r>
  <r>
    <x v="4"/>
    <n v="1198"/>
  </r>
  <r>
    <x v="5"/>
    <n v="349"/>
  </r>
  <r>
    <x v="6"/>
    <n v="899"/>
  </r>
  <r>
    <x v="0"/>
    <n v="1398"/>
  </r>
  <r>
    <x v="1"/>
    <n v="4999"/>
  </r>
  <r>
    <x v="2"/>
    <n v="2499"/>
  </r>
  <r>
    <x v="3"/>
    <n v="25999"/>
  </r>
  <r>
    <x v="4"/>
    <n v="3598"/>
  </r>
  <r>
    <x v="5"/>
    <n v="899"/>
  </r>
  <r>
    <x v="6"/>
    <n v="2598"/>
  </r>
  <r>
    <x v="0"/>
    <n v="6499"/>
  </r>
  <r>
    <x v="1"/>
    <n v="897"/>
  </r>
  <r>
    <x v="3"/>
    <n v="899"/>
  </r>
  <r>
    <x v="4"/>
    <n v="998"/>
  </r>
  <r>
    <x v="5"/>
    <n v="399"/>
  </r>
  <r>
    <x v="6"/>
    <n v="2598"/>
  </r>
  <r>
    <x v="0"/>
    <n v="999"/>
  </r>
  <r>
    <x v="1"/>
    <n v="2499"/>
  </r>
  <r>
    <x v="2"/>
    <n v="6998"/>
  </r>
  <r>
    <x v="3"/>
    <n v="399"/>
  </r>
  <r>
    <x v="4"/>
    <n v="2398"/>
  </r>
  <r>
    <x v="5"/>
    <n v="899"/>
  </r>
  <r>
    <x v="6"/>
    <n v="4999"/>
  </r>
  <r>
    <x v="0"/>
    <n v="3998"/>
  </r>
  <r>
    <x v="1"/>
    <n v="3499"/>
  </r>
  <r>
    <x v="2"/>
    <n v="7999"/>
  </r>
  <r>
    <x v="3"/>
    <n v="10999"/>
  </r>
  <r>
    <x v="4"/>
    <n v="2998"/>
  </r>
  <r>
    <x v="5"/>
    <n v="2397"/>
  </r>
  <r>
    <x v="6"/>
    <n v="798"/>
  </r>
  <r>
    <x v="0"/>
    <n v="499"/>
  </r>
  <r>
    <x v="1"/>
    <n v="999"/>
  </r>
</pivotCacheRecords>
</file>

<file path=xl/pivotCache/pivotCacheRecords2.xml><?xml version="1.0" encoding="utf-8"?>
<pivotCacheRecords xmlns="http://schemas.openxmlformats.org/spreadsheetml/2006/main" xmlns:r="http://schemas.openxmlformats.org/officeDocument/2006/relationships" count="50">
  <r>
    <x v="0"/>
    <n v="4999"/>
  </r>
  <r>
    <x v="1"/>
    <n v="31998"/>
  </r>
  <r>
    <x v="2"/>
    <n v="75999"/>
  </r>
  <r>
    <x v="3"/>
    <n v="18999"/>
  </r>
  <r>
    <x v="4"/>
    <n v="45999"/>
  </r>
  <r>
    <x v="5"/>
    <n v="3897"/>
  </r>
  <r>
    <x v="6"/>
    <n v="6998"/>
  </r>
  <r>
    <x v="7"/>
    <n v="28999"/>
  </r>
  <r>
    <x v="8"/>
    <n v="32999"/>
  </r>
  <r>
    <x v="9"/>
    <n v="37999"/>
  </r>
  <r>
    <x v="10"/>
    <n v="1598"/>
  </r>
  <r>
    <x v="11"/>
    <n v="1499"/>
  </r>
  <r>
    <x v="12"/>
    <n v="1998"/>
  </r>
  <r>
    <x v="13"/>
    <n v="2499"/>
  </r>
  <r>
    <x v="14"/>
    <n v="3299"/>
  </r>
  <r>
    <x v="15"/>
    <n v="2799"/>
  </r>
  <r>
    <x v="16"/>
    <n v="4398"/>
  </r>
  <r>
    <x v="17"/>
    <n v="1999"/>
  </r>
  <r>
    <x v="18"/>
    <n v="1198"/>
  </r>
  <r>
    <x v="19"/>
    <n v="349"/>
  </r>
  <r>
    <x v="20"/>
    <n v="899"/>
  </r>
  <r>
    <x v="21"/>
    <n v="1398"/>
  </r>
  <r>
    <x v="22"/>
    <n v="4999"/>
  </r>
  <r>
    <x v="23"/>
    <n v="2499"/>
  </r>
  <r>
    <x v="24"/>
    <n v="25999"/>
  </r>
  <r>
    <x v="25"/>
    <n v="3598"/>
  </r>
  <r>
    <x v="26"/>
    <n v="899"/>
  </r>
  <r>
    <x v="27"/>
    <n v="2598"/>
  </r>
  <r>
    <x v="28"/>
    <n v="6499"/>
  </r>
  <r>
    <x v="29"/>
    <n v="897"/>
  </r>
  <r>
    <x v="30"/>
    <n v="899"/>
  </r>
  <r>
    <x v="31"/>
    <n v="998"/>
  </r>
  <r>
    <x v="32"/>
    <n v="399"/>
  </r>
  <r>
    <x v="33"/>
    <n v="2598"/>
  </r>
  <r>
    <x v="34"/>
    <n v="999"/>
  </r>
  <r>
    <x v="35"/>
    <n v="2499"/>
  </r>
  <r>
    <x v="36"/>
    <n v="6998"/>
  </r>
  <r>
    <x v="37"/>
    <n v="399"/>
  </r>
  <r>
    <x v="38"/>
    <n v="2398"/>
  </r>
  <r>
    <x v="39"/>
    <n v="899"/>
  </r>
  <r>
    <x v="40"/>
    <n v="4999"/>
  </r>
  <r>
    <x v="41"/>
    <n v="3998"/>
  </r>
  <r>
    <x v="42"/>
    <n v="3499"/>
  </r>
  <r>
    <x v="43"/>
    <n v="7999"/>
  </r>
  <r>
    <x v="44"/>
    <n v="10999"/>
  </r>
  <r>
    <x v="45"/>
    <n v="2998"/>
  </r>
  <r>
    <x v="46"/>
    <n v="2397"/>
  </r>
  <r>
    <x v="47"/>
    <n v="798"/>
  </r>
  <r>
    <x v="48"/>
    <n v="499"/>
  </r>
  <r>
    <x v="49"/>
    <n v="999"/>
  </r>
</pivotCacheRecords>
</file>

<file path=xl/pivotCache/pivotCacheRecords3.xml><?xml version="1.0" encoding="utf-8"?>
<pivotCacheRecords xmlns="http://schemas.openxmlformats.org/spreadsheetml/2006/main" xmlns:r="http://schemas.openxmlformats.org/officeDocument/2006/relationships" count="50">
  <r>
    <x v="0"/>
    <n v="4999"/>
  </r>
  <r>
    <x v="1"/>
    <n v="31998"/>
  </r>
  <r>
    <x v="2"/>
    <n v="75999"/>
  </r>
  <r>
    <x v="3"/>
    <n v="18999"/>
  </r>
  <r>
    <x v="4"/>
    <n v="45999"/>
  </r>
  <r>
    <x v="5"/>
    <n v="3897"/>
  </r>
  <r>
    <x v="6"/>
    <n v="6998"/>
  </r>
  <r>
    <x v="7"/>
    <n v="28999"/>
  </r>
  <r>
    <x v="8"/>
    <n v="32999"/>
  </r>
  <r>
    <x v="9"/>
    <n v="37999"/>
  </r>
  <r>
    <x v="10"/>
    <n v="1598"/>
  </r>
  <r>
    <x v="11"/>
    <n v="1499"/>
  </r>
  <r>
    <x v="12"/>
    <n v="1998"/>
  </r>
  <r>
    <x v="13"/>
    <n v="2499"/>
  </r>
  <r>
    <x v="14"/>
    <n v="3299"/>
  </r>
  <r>
    <x v="15"/>
    <n v="2799"/>
  </r>
  <r>
    <x v="16"/>
    <n v="4398"/>
  </r>
  <r>
    <x v="17"/>
    <n v="1999"/>
  </r>
  <r>
    <x v="18"/>
    <n v="1198"/>
  </r>
  <r>
    <x v="19"/>
    <n v="349"/>
  </r>
  <r>
    <x v="20"/>
    <n v="899"/>
  </r>
  <r>
    <x v="21"/>
    <n v="1398"/>
  </r>
  <r>
    <x v="22"/>
    <n v="4999"/>
  </r>
  <r>
    <x v="23"/>
    <n v="2499"/>
  </r>
  <r>
    <x v="24"/>
    <n v="25999"/>
  </r>
  <r>
    <x v="25"/>
    <n v="3598"/>
  </r>
  <r>
    <x v="26"/>
    <n v="899"/>
  </r>
  <r>
    <x v="27"/>
    <n v="2598"/>
  </r>
  <r>
    <x v="28"/>
    <n v="6499"/>
  </r>
  <r>
    <x v="29"/>
    <n v="897"/>
  </r>
  <r>
    <x v="30"/>
    <n v="899"/>
  </r>
  <r>
    <x v="31"/>
    <n v="998"/>
  </r>
  <r>
    <x v="32"/>
    <n v="399"/>
  </r>
  <r>
    <x v="33"/>
    <n v="2598"/>
  </r>
  <r>
    <x v="34"/>
    <n v="999"/>
  </r>
  <r>
    <x v="35"/>
    <n v="2499"/>
  </r>
  <r>
    <x v="36"/>
    <n v="6998"/>
  </r>
  <r>
    <x v="37"/>
    <n v="399"/>
  </r>
  <r>
    <x v="38"/>
    <n v="2398"/>
  </r>
  <r>
    <x v="39"/>
    <n v="899"/>
  </r>
  <r>
    <x v="40"/>
    <n v="4999"/>
  </r>
  <r>
    <x v="41"/>
    <n v="3998"/>
  </r>
  <r>
    <x v="42"/>
    <n v="3499"/>
  </r>
  <r>
    <x v="43"/>
    <n v="7999"/>
  </r>
  <r>
    <x v="44"/>
    <n v="10999"/>
  </r>
  <r>
    <x v="45"/>
    <n v="2998"/>
  </r>
  <r>
    <x v="46"/>
    <n v="2397"/>
  </r>
  <r>
    <x v="47"/>
    <n v="798"/>
  </r>
  <r>
    <x v="48"/>
    <n v="499"/>
  </r>
  <r>
    <x v="49"/>
    <n v="999"/>
  </r>
</pivotCacheRecords>
</file>

<file path=xl/pivotCache/pivotCacheRecords4.xml><?xml version="1.0" encoding="utf-8"?>
<pivotCacheRecords xmlns="http://schemas.openxmlformats.org/spreadsheetml/2006/main" xmlns:r="http://schemas.openxmlformats.org/officeDocument/2006/relationships" count="50">
  <r>
    <n v="101"/>
    <x v="0"/>
    <n v="101"/>
    <d v="2024-01-01T00:00:00"/>
    <x v="0"/>
    <x v="0"/>
    <x v="0"/>
    <n v="1"/>
    <n v="1"/>
    <n v="4999"/>
    <n v="4999"/>
    <n v="6"/>
    <n v="4"/>
    <s v="1249.75"/>
    <s v="1.19%"/>
  </r>
  <r>
    <n v="102"/>
    <x v="1"/>
    <n v="102"/>
    <d v="2024-01-02T00:00:00"/>
    <x v="1"/>
    <x v="1"/>
    <x v="1"/>
    <n v="2"/>
    <n v="2"/>
    <n v="15999"/>
    <n v="31998"/>
    <n v="6"/>
    <n v="3"/>
    <n v="10666"/>
    <s v="7.64%"/>
  </r>
  <r>
    <n v="103"/>
    <x v="2"/>
    <n v="103"/>
    <d v="2024-01-03T00:00:00"/>
    <x v="2"/>
    <x v="2"/>
    <x v="2"/>
    <n v="3"/>
    <n v="1"/>
    <n v="75999"/>
    <n v="75999"/>
    <n v="1"/>
    <n v="1"/>
    <n v="75999"/>
    <s v="18.13%"/>
  </r>
  <r>
    <n v="104"/>
    <x v="3"/>
    <n v="104"/>
    <d v="2024-01-04T00:00:00"/>
    <x v="3"/>
    <x v="3"/>
    <x v="3"/>
    <n v="4"/>
    <n v="1"/>
    <n v="18999"/>
    <n v="18999"/>
    <n v="1"/>
    <n v="1"/>
    <n v="18999"/>
    <s v="4.53%"/>
  </r>
  <r>
    <n v="105"/>
    <x v="4"/>
    <n v="105"/>
    <d v="2024-01-05T00:00:00"/>
    <x v="4"/>
    <x v="4"/>
    <x v="4"/>
    <n v="5"/>
    <n v="1"/>
    <n v="45999"/>
    <n v="45999"/>
    <n v="6"/>
    <n v="5"/>
    <s v="9199.8"/>
    <s v="10.98%"/>
  </r>
  <r>
    <n v="106"/>
    <x v="5"/>
    <n v="106"/>
    <d v="2024-01-06T00:00:00"/>
    <x v="5"/>
    <x v="5"/>
    <x v="1"/>
    <n v="6"/>
    <n v="3"/>
    <n v="1299"/>
    <n v="3897"/>
    <n v="4"/>
    <n v="2"/>
    <s v="1948.5"/>
    <s v="0.93%"/>
  </r>
  <r>
    <n v="107"/>
    <x v="6"/>
    <n v="107"/>
    <d v="2024-01-07T00:00:00"/>
    <x v="6"/>
    <x v="6"/>
    <x v="5"/>
    <n v="7"/>
    <n v="2"/>
    <n v="3499"/>
    <n v="6998"/>
    <n v="3"/>
    <n v="2"/>
    <n v="3499"/>
    <s v="1.67%"/>
  </r>
  <r>
    <n v="108"/>
    <x v="7"/>
    <n v="108"/>
    <d v="2024-01-08T00:00:00"/>
    <x v="7"/>
    <x v="7"/>
    <x v="6"/>
    <n v="8"/>
    <n v="1"/>
    <n v="28999"/>
    <n v="28999"/>
    <n v="6"/>
    <n v="4"/>
    <s v="7249.75"/>
    <s v="6.92%"/>
  </r>
  <r>
    <n v="109"/>
    <x v="8"/>
    <n v="109"/>
    <d v="2024-01-09T00:00:00"/>
    <x v="8"/>
    <x v="8"/>
    <x v="7"/>
    <n v="9"/>
    <n v="1"/>
    <n v="32999"/>
    <n v="32999"/>
    <n v="1"/>
    <n v="1"/>
    <n v="32999"/>
    <s v="7.87%"/>
  </r>
  <r>
    <n v="110"/>
    <x v="9"/>
    <n v="110"/>
    <d v="2024-01-10T00:00:00"/>
    <x v="9"/>
    <x v="9"/>
    <x v="8"/>
    <n v="10"/>
    <n v="1"/>
    <n v="37999"/>
    <n v="37999"/>
    <n v="8"/>
    <n v="6"/>
    <s v="6333.166667"/>
    <s v="9.07%"/>
  </r>
  <r>
    <n v="111"/>
    <x v="10"/>
    <n v="111"/>
    <d v="2024-01-11T00:00:00"/>
    <x v="10"/>
    <x v="10"/>
    <x v="9"/>
    <n v="11"/>
    <n v="2"/>
    <n v="799"/>
    <n v="1598"/>
    <n v="4"/>
    <n v="3"/>
    <s v="532.6666667"/>
    <s v="0.38%"/>
  </r>
  <r>
    <n v="112"/>
    <x v="11"/>
    <n v="112"/>
    <d v="2024-01-12T00:00:00"/>
    <x v="11"/>
    <x v="11"/>
    <x v="10"/>
    <n v="12"/>
    <n v="1"/>
    <n v="1499"/>
    <n v="1499"/>
    <n v="1"/>
    <n v="1"/>
    <n v="1499"/>
    <s v="0.36%"/>
  </r>
  <r>
    <n v="113"/>
    <x v="12"/>
    <n v="113"/>
    <d v="2024-01-13T00:00:00"/>
    <x v="12"/>
    <x v="12"/>
    <x v="11"/>
    <n v="13"/>
    <n v="2"/>
    <n v="999"/>
    <n v="1998"/>
    <n v="2"/>
    <n v="1"/>
    <n v="1998"/>
    <s v="0.48%"/>
  </r>
  <r>
    <n v="114"/>
    <x v="13"/>
    <n v="114"/>
    <d v="2024-01-14T00:00:00"/>
    <x v="13"/>
    <x v="13"/>
    <x v="1"/>
    <n v="14"/>
    <n v="1"/>
    <n v="2499"/>
    <n v="2499"/>
    <n v="1"/>
    <n v="1"/>
    <n v="2499"/>
    <s v="0.60%"/>
  </r>
  <r>
    <n v="115"/>
    <x v="14"/>
    <n v="115"/>
    <d v="2024-01-15T00:00:00"/>
    <x v="14"/>
    <x v="14"/>
    <x v="9"/>
    <n v="15"/>
    <n v="1"/>
    <n v="3299"/>
    <n v="3299"/>
    <n v="2"/>
    <n v="2"/>
    <s v="1649.5"/>
    <s v="0.79%"/>
  </r>
  <r>
    <n v="116"/>
    <x v="15"/>
    <n v="116"/>
    <d v="2024-01-16T00:00:00"/>
    <x v="15"/>
    <x v="15"/>
    <x v="5"/>
    <n v="16"/>
    <n v="1"/>
    <n v="2799"/>
    <n v="2799"/>
    <n v="1"/>
    <n v="1"/>
    <n v="2799"/>
    <s v="0.67%"/>
  </r>
  <r>
    <n v="117"/>
    <x v="16"/>
    <n v="117"/>
    <d v="2024-01-17T00:00:00"/>
    <x v="16"/>
    <x v="16"/>
    <x v="12"/>
    <n v="17"/>
    <n v="2"/>
    <n v="2199"/>
    <n v="4398"/>
    <n v="4"/>
    <n v="2"/>
    <n v="2199"/>
    <s v="1.05%"/>
  </r>
  <r>
    <n v="118"/>
    <x v="17"/>
    <n v="118"/>
    <d v="2024-01-18T00:00:00"/>
    <x v="17"/>
    <x v="17"/>
    <x v="4"/>
    <n v="18"/>
    <n v="1"/>
    <n v="1999"/>
    <n v="20000"/>
    <n v="5"/>
    <n v="4"/>
    <s v="499.75"/>
    <s v="0.48%"/>
  </r>
  <r>
    <n v="119"/>
    <x v="18"/>
    <n v="119"/>
    <d v="2024-01-19T00:00:00"/>
    <x v="18"/>
    <x v="18"/>
    <x v="0"/>
    <n v="19"/>
    <n v="2"/>
    <n v="599"/>
    <n v="1198"/>
    <n v="5"/>
    <n v="3"/>
    <s v="399.3333333"/>
    <s v="0.29%"/>
  </r>
  <r>
    <n v="120"/>
    <x v="19"/>
    <n v="120"/>
    <d v="2024-01-20T00:00:00"/>
    <x v="19"/>
    <x v="19"/>
    <x v="13"/>
    <n v="20"/>
    <n v="1"/>
    <n v="349"/>
    <n v="349"/>
    <n v="1"/>
    <n v="1"/>
    <n v="349"/>
    <s v="0.08%"/>
  </r>
  <r>
    <n v="121"/>
    <x v="20"/>
    <n v="121"/>
    <d v="2024-01-21T00:00:00"/>
    <x v="20"/>
    <x v="20"/>
    <x v="4"/>
    <n v="21"/>
    <n v="1"/>
    <n v="899"/>
    <n v="30000"/>
    <n v="4"/>
    <n v="3"/>
    <s v="299.6666667"/>
    <s v="0.21%"/>
  </r>
  <r>
    <n v="122"/>
    <x v="21"/>
    <n v="122"/>
    <d v="2024-01-22T00:00:00"/>
    <x v="21"/>
    <x v="21"/>
    <x v="12"/>
    <n v="22"/>
    <n v="2"/>
    <n v="699"/>
    <n v="1398"/>
    <n v="2"/>
    <n v="1"/>
    <n v="1398"/>
    <s v="0.33%"/>
  </r>
  <r>
    <n v="123"/>
    <x v="22"/>
    <n v="123"/>
    <d v="2024-01-23T00:00:00"/>
    <x v="22"/>
    <x v="22"/>
    <x v="14"/>
    <n v="23"/>
    <n v="1"/>
    <n v="4999"/>
    <n v="4999"/>
    <n v="1"/>
    <n v="1"/>
    <n v="4999"/>
    <s v="1.19%"/>
  </r>
  <r>
    <n v="124"/>
    <x v="23"/>
    <n v="124"/>
    <d v="2024-01-24T00:00:00"/>
    <x v="23"/>
    <x v="23"/>
    <x v="15"/>
    <n v="24"/>
    <n v="1"/>
    <n v="2499"/>
    <n v="2499"/>
    <n v="4"/>
    <n v="3"/>
    <n v="833"/>
    <s v="0.60%"/>
  </r>
  <r>
    <n v="125"/>
    <x v="24"/>
    <n v="125"/>
    <d v="2024-01-25T00:00:00"/>
    <x v="24"/>
    <x v="24"/>
    <x v="16"/>
    <n v="25"/>
    <n v="1"/>
    <n v="25999"/>
    <n v="25999"/>
    <n v="1"/>
    <n v="1"/>
    <n v="25999"/>
    <s v="6.20%"/>
  </r>
  <r>
    <n v="126"/>
    <x v="25"/>
    <n v="126"/>
    <d v="2024-01-26T00:00:00"/>
    <x v="25"/>
    <x v="25"/>
    <x v="6"/>
    <n v="26"/>
    <n v="2"/>
    <n v="1799"/>
    <n v="3598"/>
    <n v="5"/>
    <n v="3"/>
    <s v="1199.333333"/>
    <s v="0.86%"/>
  </r>
  <r>
    <n v="127"/>
    <x v="26"/>
    <n v="127"/>
    <d v="2024-01-27T00:00:00"/>
    <x v="26"/>
    <x v="26"/>
    <x v="17"/>
    <n v="27"/>
    <n v="1"/>
    <n v="899"/>
    <n v="899"/>
    <n v="1"/>
    <n v="1"/>
    <n v="899"/>
    <s v="0.21%"/>
  </r>
  <r>
    <n v="128"/>
    <x v="27"/>
    <n v="128"/>
    <d v="2024-01-28T00:00:00"/>
    <x v="27"/>
    <x v="27"/>
    <x v="18"/>
    <n v="28"/>
    <n v="2"/>
    <n v="1299"/>
    <n v="2598"/>
    <n v="2"/>
    <n v="1"/>
    <n v="2598"/>
    <s v="0.62%"/>
  </r>
  <r>
    <n v="129"/>
    <x v="28"/>
    <n v="129"/>
    <d v="2024-01-29T00:00:00"/>
    <x v="28"/>
    <x v="28"/>
    <x v="8"/>
    <n v="29"/>
    <n v="1"/>
    <n v="6499"/>
    <n v="6499"/>
    <n v="7"/>
    <n v="5"/>
    <s v="1299.8"/>
    <s v="1.55%"/>
  </r>
  <r>
    <n v="130"/>
    <x v="29"/>
    <n v="130"/>
    <d v="2024-01-30T00:00:00"/>
    <x v="29"/>
    <x v="29"/>
    <x v="8"/>
    <n v="30"/>
    <n v="3"/>
    <n v="299"/>
    <n v="897"/>
    <n v="6"/>
    <n v="4"/>
    <s v="224.25"/>
    <s v="0.21%"/>
  </r>
  <r>
    <n v="131"/>
    <x v="30"/>
    <n v="131"/>
    <d v="2024-02-01T00:00:00"/>
    <x v="30"/>
    <x v="30"/>
    <x v="0"/>
    <n v="31"/>
    <n v="1"/>
    <n v="899"/>
    <n v="899"/>
    <n v="3"/>
    <n v="2"/>
    <s v="449.5"/>
    <s v="0.21%"/>
  </r>
  <r>
    <n v="132"/>
    <x v="31"/>
    <n v="132"/>
    <d v="2024-02-02T00:00:00"/>
    <x v="31"/>
    <x v="31"/>
    <x v="0"/>
    <n v="32"/>
    <n v="2"/>
    <n v="499"/>
    <n v="998"/>
    <n v="2"/>
    <n v="1"/>
    <n v="998"/>
    <s v="0.24%"/>
  </r>
  <r>
    <n v="133"/>
    <x v="32"/>
    <n v="133"/>
    <d v="2024-02-03T00:00:00"/>
    <x v="32"/>
    <x v="32"/>
    <x v="4"/>
    <n v="33"/>
    <n v="1"/>
    <n v="399"/>
    <n v="3999"/>
    <n v="3"/>
    <n v="2"/>
    <s v="199.5"/>
    <s v="0.10%"/>
  </r>
  <r>
    <n v="134"/>
    <x v="33"/>
    <n v="134"/>
    <d v="2024-02-04T00:00:00"/>
    <x v="33"/>
    <x v="33"/>
    <x v="4"/>
    <n v="34"/>
    <n v="2"/>
    <n v="1299"/>
    <n v="25098"/>
    <n v="2"/>
    <n v="1"/>
    <n v="2598"/>
    <s v="0.62%"/>
  </r>
  <r>
    <n v="135"/>
    <x v="34"/>
    <n v="135"/>
    <d v="2024-02-05T00:00:00"/>
    <x v="34"/>
    <x v="34"/>
    <x v="6"/>
    <n v="35"/>
    <n v="1"/>
    <n v="999"/>
    <n v="999"/>
    <n v="3"/>
    <n v="2"/>
    <s v="499.5"/>
    <s v="0.24%"/>
  </r>
  <r>
    <n v="136"/>
    <x v="35"/>
    <n v="136"/>
    <d v="2024-02-06T00:00:00"/>
    <x v="35"/>
    <x v="35"/>
    <x v="9"/>
    <n v="36"/>
    <n v="1"/>
    <n v="2499"/>
    <n v="2499"/>
    <n v="1"/>
    <n v="1"/>
    <n v="2499"/>
    <s v="0.60%"/>
  </r>
  <r>
    <n v="137"/>
    <x v="36"/>
    <n v="137"/>
    <d v="2024-02-07T00:00:00"/>
    <x v="36"/>
    <x v="36"/>
    <x v="15"/>
    <n v="37"/>
    <n v="2"/>
    <n v="3499"/>
    <n v="6998"/>
    <n v="3"/>
    <n v="2"/>
    <n v="3499"/>
    <s v="1.67%"/>
  </r>
  <r>
    <n v="138"/>
    <x v="37"/>
    <n v="138"/>
    <d v="2024-02-08T00:00:00"/>
    <x v="37"/>
    <x v="37"/>
    <x v="15"/>
    <n v="38"/>
    <n v="1"/>
    <n v="399"/>
    <n v="399"/>
    <n v="1"/>
    <n v="1"/>
    <n v="399"/>
    <s v="0.10%"/>
  </r>
  <r>
    <n v="139"/>
    <x v="38"/>
    <n v="139"/>
    <d v="2024-02-09T00:00:00"/>
    <x v="38"/>
    <x v="38"/>
    <x v="6"/>
    <n v="39"/>
    <n v="2"/>
    <n v="1199"/>
    <n v="2398"/>
    <n v="2"/>
    <n v="1"/>
    <n v="2398"/>
    <s v="0.57%"/>
  </r>
  <r>
    <n v="140"/>
    <x v="39"/>
    <n v="140"/>
    <d v="2024-02-10T00:00:00"/>
    <x v="39"/>
    <x v="39"/>
    <x v="8"/>
    <n v="40"/>
    <n v="1"/>
    <n v="899"/>
    <n v="899"/>
    <n v="3"/>
    <n v="3"/>
    <s v="299.6666667"/>
    <s v="0.21%"/>
  </r>
  <r>
    <n v="141"/>
    <x v="40"/>
    <n v="141"/>
    <d v="2024-02-11T00:00:00"/>
    <x v="40"/>
    <x v="40"/>
    <x v="8"/>
    <n v="41"/>
    <n v="1"/>
    <n v="4999"/>
    <n v="4999"/>
    <n v="2"/>
    <n v="2"/>
    <s v="2499.5"/>
    <s v="1.19%"/>
  </r>
  <r>
    <n v="142"/>
    <x v="41"/>
    <n v="142"/>
    <d v="2024-02-12T00:00:00"/>
    <x v="41"/>
    <x v="41"/>
    <x v="19"/>
    <n v="42"/>
    <n v="2"/>
    <n v="1999"/>
    <n v="3998"/>
    <n v="2"/>
    <n v="1"/>
    <n v="3998"/>
    <s v="0.95%"/>
  </r>
  <r>
    <n v="143"/>
    <x v="42"/>
    <n v="143"/>
    <d v="2024-02-13T00:00:00"/>
    <x v="42"/>
    <x v="42"/>
    <x v="8"/>
    <n v="43"/>
    <n v="1"/>
    <n v="3499"/>
    <n v="100000"/>
    <n v="1"/>
    <n v="1"/>
    <n v="3499"/>
    <s v="0.83%"/>
  </r>
  <r>
    <n v="144"/>
    <x v="43"/>
    <n v="144"/>
    <d v="2024-02-14T00:00:00"/>
    <x v="43"/>
    <x v="43"/>
    <x v="20"/>
    <n v="44"/>
    <n v="1"/>
    <n v="7999"/>
    <n v="7999"/>
    <n v="1"/>
    <n v="1"/>
    <n v="7999"/>
    <s v="1.91%"/>
  </r>
  <r>
    <n v="145"/>
    <x v="44"/>
    <n v="145"/>
    <d v="2024-02-15T00:00:00"/>
    <x v="44"/>
    <x v="44"/>
    <x v="21"/>
    <n v="45"/>
    <n v="1"/>
    <n v="10999"/>
    <n v="10999"/>
    <n v="1"/>
    <n v="1"/>
    <n v="10999"/>
    <s v="2.62%"/>
  </r>
  <r>
    <n v="146"/>
    <x v="45"/>
    <n v="146"/>
    <d v="2024-02-16T00:00:00"/>
    <x v="45"/>
    <x v="45"/>
    <x v="22"/>
    <n v="46"/>
    <n v="2"/>
    <n v="1499"/>
    <n v="2998"/>
    <n v="2"/>
    <n v="1"/>
    <n v="2998"/>
    <s v="0.72%"/>
  </r>
  <r>
    <n v="147"/>
    <x v="46"/>
    <n v="147"/>
    <d v="2024-02-17T00:00:00"/>
    <x v="46"/>
    <x v="46"/>
    <x v="23"/>
    <n v="47"/>
    <n v="3"/>
    <n v="799"/>
    <n v="2397"/>
    <n v="3"/>
    <n v="1"/>
    <n v="2397"/>
    <s v="0.57%"/>
  </r>
  <r>
    <n v="148"/>
    <x v="47"/>
    <n v="148"/>
    <d v="2024-02-18T00:00:00"/>
    <x v="47"/>
    <x v="47"/>
    <x v="24"/>
    <n v="48"/>
    <n v="2"/>
    <n v="399"/>
    <n v="798"/>
    <n v="2"/>
    <n v="1"/>
    <n v="798"/>
    <s v="0.19%"/>
  </r>
  <r>
    <n v="149"/>
    <x v="48"/>
    <n v="149"/>
    <d v="2024-02-19T00:00:00"/>
    <x v="48"/>
    <x v="48"/>
    <x v="25"/>
    <n v="49"/>
    <n v="1"/>
    <n v="499"/>
    <n v="499"/>
    <n v="1"/>
    <n v="1"/>
    <n v="499"/>
    <s v="0.12%"/>
  </r>
  <r>
    <n v="150"/>
    <x v="49"/>
    <n v="150"/>
    <d v="2024-02-20T00:00:00"/>
    <x v="49"/>
    <x v="49"/>
    <x v="26"/>
    <n v="50"/>
    <n v="1"/>
    <n v="999"/>
    <n v="999"/>
    <n v="1"/>
    <n v="1"/>
    <n v="999"/>
    <s v="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4">
  <location ref="A3:B9" firstHeaderRow="1" firstDataRow="1" firstDataCol="1"/>
  <pivotFields count="15">
    <pivotField showAll="0"/>
    <pivotField numFmtId="14" showAll="0"/>
    <pivotField showAll="0" defaultSubtotal="0"/>
    <pivotField numFmtId="14" showAll="0" defaultSubtotal="0"/>
    <pivotField showAll="0"/>
    <pivotField showAll="0"/>
    <pivotField axis="axisRow" showAll="0" measureFilter="1">
      <items count="28">
        <item x="12"/>
        <item x="26"/>
        <item x="14"/>
        <item x="10"/>
        <item x="11"/>
        <item x="16"/>
        <item x="2"/>
        <item x="20"/>
        <item x="5"/>
        <item x="19"/>
        <item x="21"/>
        <item x="15"/>
        <item x="0"/>
        <item x="13"/>
        <item x="9"/>
        <item x="1"/>
        <item x="22"/>
        <item x="24"/>
        <item x="23"/>
        <item x="25"/>
        <item x="17"/>
        <item x="6"/>
        <item x="4"/>
        <item x="3"/>
        <item x="8"/>
        <item x="18"/>
        <item x="7"/>
        <item t="default"/>
      </items>
    </pivotField>
    <pivotField showAll="0"/>
    <pivotField showAll="0"/>
    <pivotField showAll="0"/>
    <pivotField dataField="1" showAll="0"/>
    <pivotField showAll="0"/>
    <pivotField showAll="0"/>
    <pivotField showAll="0"/>
    <pivotField showAll="0"/>
  </pivotFields>
  <rowFields count="1">
    <field x="6"/>
  </rowFields>
  <rowItems count="6">
    <i>
      <x v="6"/>
    </i>
    <i>
      <x v="15"/>
    </i>
    <i>
      <x v="21"/>
    </i>
    <i>
      <x v="22"/>
    </i>
    <i>
      <x v="24"/>
    </i>
    <i t="grand">
      <x/>
    </i>
  </rowItems>
  <colItems count="1">
    <i/>
  </colItems>
  <dataFields count="1">
    <dataField name="Sum of Total Revenue" fld="10" baseField="0" baseItem="0" numFmtId="164"/>
  </dataFields>
  <formats count="1">
    <format dxfId="8">
      <pivotArea outline="0" collapsedLevelsAreSubtotals="1" fieldPosition="0"/>
    </format>
  </formats>
  <chartFormats count="4">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H7:I15" firstHeaderRow="1" firstDataRow="1" firstDataCol="1"/>
  <pivotFields count="2">
    <pivotField axis="axisRow" showAll="0">
      <items count="8">
        <item x="6"/>
        <item x="0"/>
        <item x="1"/>
        <item x="2"/>
        <item x="3"/>
        <item x="4"/>
        <item x="5"/>
        <item t="default"/>
      </items>
    </pivotField>
    <pivotField dataField="1" showAll="0"/>
  </pivotFields>
  <rowFields count="1">
    <field x="0"/>
  </rowFields>
  <rowItems count="8">
    <i>
      <x/>
    </i>
    <i>
      <x v="1"/>
    </i>
    <i>
      <x v="2"/>
    </i>
    <i>
      <x v="3"/>
    </i>
    <i>
      <x v="4"/>
    </i>
    <i>
      <x v="5"/>
    </i>
    <i>
      <x v="6"/>
    </i>
    <i t="grand">
      <x/>
    </i>
  </rowItems>
  <colItems count="1">
    <i/>
  </colItems>
  <dataFields count="1">
    <dataField name="Sum of Sum of Total Revenue" fld="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0"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4">
  <location ref="M95:N101" firstHeaderRow="1" firstDataRow="1" firstDataCol="1"/>
  <pivotFields count="15">
    <pivotField showAll="0"/>
    <pivotField numFmtId="14" showAll="0"/>
    <pivotField showAll="0" defaultSubtotal="0"/>
    <pivotField numFmtId="14" showAll="0" defaultSubtotal="0"/>
    <pivotField showAll="0"/>
    <pivotField showAll="0"/>
    <pivotField axis="axisRow" showAll="0" measureFilter="1">
      <items count="28">
        <item x="12"/>
        <item x="26"/>
        <item x="14"/>
        <item x="10"/>
        <item x="11"/>
        <item x="16"/>
        <item x="2"/>
        <item x="20"/>
        <item x="5"/>
        <item x="19"/>
        <item x="21"/>
        <item x="15"/>
        <item x="0"/>
        <item x="13"/>
        <item x="9"/>
        <item x="1"/>
        <item x="22"/>
        <item x="24"/>
        <item x="23"/>
        <item x="25"/>
        <item x="17"/>
        <item x="6"/>
        <item x="4"/>
        <item x="3"/>
        <item x="8"/>
        <item x="18"/>
        <item x="7"/>
        <item t="default"/>
      </items>
    </pivotField>
    <pivotField showAll="0"/>
    <pivotField showAll="0"/>
    <pivotField showAll="0"/>
    <pivotField dataField="1" showAll="0"/>
    <pivotField showAll="0"/>
    <pivotField showAll="0"/>
    <pivotField showAll="0"/>
    <pivotField showAll="0"/>
  </pivotFields>
  <rowFields count="1">
    <field x="6"/>
  </rowFields>
  <rowItems count="6">
    <i>
      <x v="1"/>
    </i>
    <i>
      <x v="13"/>
    </i>
    <i>
      <x v="17"/>
    </i>
    <i>
      <x v="19"/>
    </i>
    <i>
      <x v="20"/>
    </i>
    <i t="grand">
      <x/>
    </i>
  </rowItems>
  <colItems count="1">
    <i/>
  </colItems>
  <dataFields count="1">
    <dataField name="Sum of Total Revenue" fld="10" baseField="0" baseItem="0"/>
  </dataFields>
  <chartFormats count="3">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3"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6">
  <location ref="O6:P8" firstHeaderRow="1" firstDataRow="1" firstDataCol="1"/>
  <pivotFields count="15">
    <pivotField showAll="0"/>
    <pivotField numFmtId="14" showAll="0"/>
    <pivotField showAll="0" defaultSubtotal="0"/>
    <pivotField numFmtId="14" showAll="0" defaultSubtotal="0"/>
    <pivotField showAll="0"/>
    <pivotField showAll="0"/>
    <pivotField axis="axisRow" showAll="0">
      <items count="28">
        <item h="1" x="12"/>
        <item x="26"/>
        <item h="1" x="14"/>
        <item h="1" x="10"/>
        <item h="1" x="11"/>
        <item h="1" x="16"/>
        <item h="1" x="2"/>
        <item h="1" x="20"/>
        <item h="1" x="5"/>
        <item h="1" x="19"/>
        <item h="1" x="21"/>
        <item h="1" x="15"/>
        <item h="1" x="0"/>
        <item h="1" x="13"/>
        <item h="1" x="9"/>
        <item h="1" x="1"/>
        <item h="1" x="22"/>
        <item h="1" x="24"/>
        <item h="1" x="23"/>
        <item h="1" x="25"/>
        <item h="1" x="17"/>
        <item h="1" x="6"/>
        <item h="1" x="4"/>
        <item h="1" x="3"/>
        <item h="1" x="8"/>
        <item h="1" x="18"/>
        <item h="1" x="7"/>
        <item t="default"/>
      </items>
    </pivotField>
    <pivotField showAll="0"/>
    <pivotField showAll="0"/>
    <pivotField showAll="0"/>
    <pivotField showAll="0"/>
    <pivotField showAll="0"/>
    <pivotField showAll="0"/>
    <pivotField dataField="1" showAll="0"/>
    <pivotField showAll="0"/>
  </pivotFields>
  <rowFields count="1">
    <field x="6"/>
  </rowFields>
  <rowItems count="2">
    <i>
      <x v="1"/>
    </i>
    <i t="grand">
      <x/>
    </i>
  </rowItems>
  <colItems count="1">
    <i/>
  </colItems>
  <dataFields count="1">
    <dataField name="Sum of Average Order value" fld="13" baseField="4" baseItem="0"/>
  </dataFields>
  <chartFormats count="1">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7"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O40:P51" firstHeaderRow="1" firstDataRow="1" firstDataCol="1"/>
  <pivotFields count="2">
    <pivotField axis="axisRow" showAll="0" measureFilter="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s>
  <rowFields count="1">
    <field x="0"/>
  </rowFields>
  <rowItems count="11">
    <i>
      <x v="1"/>
    </i>
    <i>
      <x v="2"/>
    </i>
    <i>
      <x v="3"/>
    </i>
    <i>
      <x v="4"/>
    </i>
    <i>
      <x v="7"/>
    </i>
    <i>
      <x v="8"/>
    </i>
    <i>
      <x v="9"/>
    </i>
    <i>
      <x v="24"/>
    </i>
    <i>
      <x v="43"/>
    </i>
    <i>
      <x v="44"/>
    </i>
    <i t="grand">
      <x/>
    </i>
  </rowItems>
  <colItems count="1">
    <i/>
  </colItems>
  <dataFields count="1">
    <dataField name="Sum of Total Revenue"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2">
  <location ref="Q47:S53" firstHeaderRow="0" firstDataRow="1" firstDataCol="1"/>
  <pivotFields count="15">
    <pivotField showAll="0"/>
    <pivotField numFmtId="14" showAll="0"/>
    <pivotField showAll="0" defaultSubtotal="0"/>
    <pivotField numFmtId="14" showAll="0" defaultSubtotal="0"/>
    <pivotField showAll="0"/>
    <pivotField showAll="0"/>
    <pivotField axis="axisRow" showAll="0" measureFilter="1">
      <items count="28">
        <item x="12"/>
        <item x="26"/>
        <item x="14"/>
        <item x="10"/>
        <item x="11"/>
        <item x="16"/>
        <item x="2"/>
        <item x="20"/>
        <item x="5"/>
        <item x="19"/>
        <item x="21"/>
        <item x="15"/>
        <item x="0"/>
        <item x="13"/>
        <item x="9"/>
        <item x="1"/>
        <item x="22"/>
        <item x="24"/>
        <item x="23"/>
        <item x="25"/>
        <item x="17"/>
        <item x="6"/>
        <item x="4"/>
        <item x="3"/>
        <item x="8"/>
        <item x="18"/>
        <item x="7"/>
        <item t="default"/>
      </items>
    </pivotField>
    <pivotField showAll="0"/>
    <pivotField showAll="0"/>
    <pivotField showAll="0"/>
    <pivotField dataField="1" showAll="0"/>
    <pivotField dataField="1" showAll="0"/>
    <pivotField showAll="0"/>
    <pivotField showAll="0"/>
    <pivotField showAll="0"/>
  </pivotFields>
  <rowFields count="1">
    <field x="6"/>
  </rowFields>
  <rowItems count="6">
    <i>
      <x v="12"/>
    </i>
    <i>
      <x v="15"/>
    </i>
    <i>
      <x v="21"/>
    </i>
    <i>
      <x v="22"/>
    </i>
    <i>
      <x v="24"/>
    </i>
    <i t="grand">
      <x/>
    </i>
  </rowItems>
  <colFields count="1">
    <field x="-2"/>
  </colFields>
  <colItems count="2">
    <i>
      <x/>
    </i>
    <i i="1">
      <x v="1"/>
    </i>
  </colItems>
  <dataFields count="2">
    <dataField name="Sum of Total Quantity" fld="11" baseField="0" baseItem="0"/>
    <dataField name="Sum of Total Revenue" fld="10" baseField="0" baseItem="0"/>
  </dataFields>
  <formats count="1">
    <format dxfId="9">
      <pivotArea collapsedLevelsAreSubtotals="1" fieldPosition="0">
        <references count="1">
          <reference field="6" count="1">
            <x v="0"/>
          </reference>
        </references>
      </pivotArea>
    </format>
  </formats>
  <chartFormats count="6">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3">
  <location ref="I3:I4" firstHeaderRow="1" firstDataRow="1" firstDataCol="0"/>
  <pivotFields count="15">
    <pivotField showAll="0"/>
    <pivotField numFmtId="14" showAll="0"/>
    <pivotField showAll="0" defaultSubtotal="0"/>
    <pivotField numFmtId="14" showAll="0" defaultSubtota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Total Revenue" fld="10" baseField="4" baseItem="1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9"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2">
  <location ref="L76:N82" firstHeaderRow="0" firstDataRow="1" firstDataCol="1"/>
  <pivotFields count="15">
    <pivotField showAll="0"/>
    <pivotField numFmtId="14" showAll="0"/>
    <pivotField showAll="0" defaultSubtotal="0"/>
    <pivotField numFmtId="14" showAll="0" defaultSubtotal="0"/>
    <pivotField showAll="0"/>
    <pivotField showAll="0"/>
    <pivotField axis="axisRow" showAll="0" measureFilter="1">
      <items count="28">
        <item x="12"/>
        <item x="26"/>
        <item x="14"/>
        <item x="10"/>
        <item x="11"/>
        <item x="16"/>
        <item x="2"/>
        <item x="20"/>
        <item x="5"/>
        <item x="19"/>
        <item x="21"/>
        <item x="15"/>
        <item x="0"/>
        <item x="13"/>
        <item x="9"/>
        <item x="1"/>
        <item x="22"/>
        <item x="24"/>
        <item x="23"/>
        <item x="25"/>
        <item x="17"/>
        <item x="6"/>
        <item x="4"/>
        <item x="3"/>
        <item x="8"/>
        <item x="18"/>
        <item x="7"/>
        <item t="default"/>
      </items>
    </pivotField>
    <pivotField showAll="0"/>
    <pivotField showAll="0"/>
    <pivotField showAll="0"/>
    <pivotField dataField="1" showAll="0"/>
    <pivotField dataField="1" showAll="0"/>
    <pivotField showAll="0"/>
    <pivotField showAll="0"/>
    <pivotField showAll="0"/>
  </pivotFields>
  <rowFields count="1">
    <field x="6"/>
  </rowFields>
  <rowItems count="6">
    <i>
      <x v="12"/>
    </i>
    <i>
      <x v="15"/>
    </i>
    <i>
      <x v="21"/>
    </i>
    <i>
      <x v="22"/>
    </i>
    <i>
      <x v="24"/>
    </i>
    <i t="grand">
      <x/>
    </i>
  </rowItems>
  <colFields count="1">
    <field x="-2"/>
  </colFields>
  <colItems count="2">
    <i>
      <x/>
    </i>
    <i i="1">
      <x v="1"/>
    </i>
  </colItems>
  <dataFields count="2">
    <dataField name="Sum of Total Quantity" fld="11" baseField="0" baseItem="0"/>
    <dataField name="Sum of Total Revenue" fld="10" baseField="0" baseItem="0" numFmtId="165"/>
  </dataFields>
  <formats count="2">
    <format dxfId="11">
      <pivotArea collapsedLevelsAreSubtotals="1" fieldPosition="0">
        <references count="1">
          <reference field="6" count="1">
            <x v="0"/>
          </reference>
        </references>
      </pivotArea>
    </format>
    <format dxfId="10">
      <pivotArea outline="0" collapsedLevelsAreSubtotals="1" fieldPosition="0">
        <references count="1">
          <reference field="4294967294" count="1" selected="0">
            <x v="1"/>
          </reference>
        </references>
      </pivotArea>
    </format>
  </formats>
  <chartFormats count="6">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6" rowHeaderCaption="Order Day">
  <location ref="I46:J97" firstHeaderRow="1" firstDataRow="1" firstDataCol="1"/>
  <pivotFields count="15">
    <pivotField showAll="0"/>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defaultSubtotal="0"/>
    <pivotField numFmtId="14" showAll="0" defaultSubtotal="0"/>
    <pivotField showAll="0"/>
    <pivotField showAll="0"/>
    <pivotField showAll="0"/>
    <pivotField showAll="0"/>
    <pivotField showAll="0"/>
    <pivotField showAll="0"/>
    <pivotField dataField="1" showAll="0"/>
    <pivotField showAll="0"/>
    <pivotField showAll="0"/>
    <pivotField showAll="0"/>
    <pivotField showAll="0"/>
  </pivotFields>
  <rowFields count="1">
    <field x="1"/>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E3:F14" firstHeaderRow="1" firstDataRow="1" firstDataCol="1"/>
  <pivotFields count="15">
    <pivotField showAll="0"/>
    <pivotField numFmtId="14" showAll="0"/>
    <pivotField showAll="0" defaultSubtotal="0"/>
    <pivotField numFmtId="14" showAll="0" defaultSubtotal="0"/>
    <pivotField showAll="0"/>
    <pivotField showAll="0"/>
    <pivotField axis="axisRow" showAll="0" measureFilter="1">
      <items count="28">
        <item x="12"/>
        <item x="26"/>
        <item x="14"/>
        <item x="10"/>
        <item x="11"/>
        <item x="16"/>
        <item x="2"/>
        <item x="20"/>
        <item x="5"/>
        <item x="19"/>
        <item x="21"/>
        <item x="15"/>
        <item x="0"/>
        <item x="13"/>
        <item x="9"/>
        <item x="1"/>
        <item x="22"/>
        <item x="24"/>
        <item x="23"/>
        <item x="25"/>
        <item x="17"/>
        <item x="6"/>
        <item x="4"/>
        <item x="3"/>
        <item x="8"/>
        <item x="18"/>
        <item x="7"/>
        <item t="default"/>
      </items>
    </pivotField>
    <pivotField showAll="0"/>
    <pivotField showAll="0"/>
    <pivotField showAll="0"/>
    <pivotField dataField="1" showAll="0"/>
    <pivotField showAll="0"/>
    <pivotField showAll="0"/>
    <pivotField showAll="0"/>
    <pivotField showAll="0"/>
  </pivotFields>
  <rowFields count="1">
    <field x="6"/>
  </rowFields>
  <rowItems count="11">
    <i>
      <x v="1"/>
    </i>
    <i>
      <x v="3"/>
    </i>
    <i>
      <x v="4"/>
    </i>
    <i>
      <x v="13"/>
    </i>
    <i>
      <x v="16"/>
    </i>
    <i>
      <x v="17"/>
    </i>
    <i>
      <x v="18"/>
    </i>
    <i>
      <x v="19"/>
    </i>
    <i>
      <x v="20"/>
    </i>
    <i>
      <x v="25"/>
    </i>
    <i t="grand">
      <x/>
    </i>
  </rowItems>
  <colItems count="1">
    <i/>
  </colItems>
  <dataFields count="1">
    <dataField name="Sum of Total Revenue" fld="10" baseField="0" baseItem="0"/>
  </dataFields>
  <formats count="5">
    <format dxfId="16">
      <pivotArea collapsedLevelsAreSubtotals="1" fieldPosition="0">
        <references count="1">
          <reference field="6" count="1">
            <x v="1"/>
          </reference>
        </references>
      </pivotArea>
    </format>
    <format dxfId="15">
      <pivotArea collapsedLevelsAreSubtotals="1" fieldPosition="0">
        <references count="1">
          <reference field="6" count="1">
            <x v="4"/>
          </reference>
        </references>
      </pivotArea>
    </format>
    <format dxfId="14">
      <pivotArea collapsedLevelsAreSubtotals="1" fieldPosition="0">
        <references count="1">
          <reference field="6" count="1">
            <x v="3"/>
          </reference>
        </references>
      </pivotArea>
    </format>
    <format dxfId="13">
      <pivotArea collapsedLevelsAreSubtotals="1" fieldPosition="0">
        <references count="1">
          <reference field="6" count="7">
            <x v="13"/>
            <x v="16"/>
            <x v="17"/>
            <x v="18"/>
            <x v="19"/>
            <x v="20"/>
            <x v="25"/>
          </reference>
        </references>
      </pivotArea>
    </format>
    <format dxfId="12">
      <pivotArea grandRow="1" outline="0" collapsedLevelsAreSubtotals="1" fieldPosition="0"/>
    </format>
  </formats>
  <pivotTableStyleInfo name="PivotStyleLight16" showRowHeaders="1" showColHeaders="1" showRowStripes="0" showColStripes="0" showLastColumn="1"/>
  <filters count="1">
    <filter fld="6"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6"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H36:I42" firstHeaderRow="1" firstDataRow="1" firstDataCol="1"/>
  <pivotFields count="2">
    <pivotField axis="axisRow" numFmtId="14" showAll="0" measureFilter="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s>
  <rowFields count="1">
    <field x="0"/>
  </rowFields>
  <rowItems count="6">
    <i>
      <x v="1"/>
    </i>
    <i>
      <x v="2"/>
    </i>
    <i>
      <x v="4"/>
    </i>
    <i>
      <x v="8"/>
    </i>
    <i>
      <x v="9"/>
    </i>
    <i t="grand">
      <x/>
    </i>
  </rowItems>
  <colItems count="1">
    <i/>
  </colItems>
  <dataFields count="1">
    <dataField name="Sum of Total Revenue" fld="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6">
  <location ref="O18:Q35" firstHeaderRow="1" firstDataRow="1" firstDataCol="0"/>
  <pivotFields count="15">
    <pivotField showAll="0"/>
    <pivotField numFmtId="14" showAll="0"/>
    <pivotField showAll="0" defaultSubtotal="0"/>
    <pivotField numFmtId="14" showAll="0" defaultSubtota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30"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H22:I33" firstHeaderRow="1" firstDataRow="1" firstDataCol="1"/>
  <pivotFields count="15">
    <pivotField showAll="0"/>
    <pivotField numFmtId="14" showAll="0"/>
    <pivotField showAll="0" defaultSubtotal="0"/>
    <pivotField numFmtId="14" showAll="0" defaultSubtotal="0"/>
    <pivotField showAll="0"/>
    <pivotField axis="axisRow" showAll="0" measureFilter="1">
      <items count="51">
        <item x="28"/>
        <item x="6"/>
        <item x="46"/>
        <item x="39"/>
        <item x="26"/>
        <item x="0"/>
        <item x="10"/>
        <item x="12"/>
        <item x="4"/>
        <item x="17"/>
        <item x="27"/>
        <item x="2"/>
        <item x="37"/>
        <item x="41"/>
        <item x="42"/>
        <item x="22"/>
        <item x="35"/>
        <item x="30"/>
        <item x="3"/>
        <item x="45"/>
        <item x="14"/>
        <item x="49"/>
        <item x="7"/>
        <item x="36"/>
        <item x="25"/>
        <item x="48"/>
        <item x="8"/>
        <item x="38"/>
        <item x="9"/>
        <item x="20"/>
        <item x="31"/>
        <item x="1"/>
        <item x="18"/>
        <item x="13"/>
        <item x="40"/>
        <item x="43"/>
        <item x="11"/>
        <item x="5"/>
        <item x="24"/>
        <item x="23"/>
        <item x="33"/>
        <item x="47"/>
        <item x="44"/>
        <item x="15"/>
        <item x="19"/>
        <item x="32"/>
        <item x="34"/>
        <item x="29"/>
        <item x="21"/>
        <item x="16"/>
        <item t="default"/>
      </items>
    </pivotField>
    <pivotField showAll="0"/>
    <pivotField showAll="0"/>
    <pivotField showAll="0"/>
    <pivotField showAll="0"/>
    <pivotField dataField="1" showAll="0"/>
    <pivotField showAll="0"/>
    <pivotField showAll="0"/>
    <pivotField showAll="0"/>
    <pivotField showAll="0"/>
  </pivotFields>
  <rowFields count="1">
    <field x="5"/>
  </rowFields>
  <rowItems count="11">
    <i>
      <x v="8"/>
    </i>
    <i>
      <x v="11"/>
    </i>
    <i>
      <x v="14"/>
    </i>
    <i>
      <x v="22"/>
    </i>
    <i>
      <x v="26"/>
    </i>
    <i>
      <x v="28"/>
    </i>
    <i>
      <x v="29"/>
    </i>
    <i>
      <x v="31"/>
    </i>
    <i>
      <x v="38"/>
    </i>
    <i>
      <x v="40"/>
    </i>
    <i t="grand">
      <x/>
    </i>
  </rowItems>
  <colItems count="1">
    <i/>
  </colItems>
  <dataFields count="1">
    <dataField name="Sum of Total Revenue" fld="10" baseField="0" baseItem="0"/>
  </dataFields>
  <chartFormats count="1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42"/>
          </reference>
        </references>
      </pivotArea>
    </chartFormat>
    <chartFormat chart="1" format="2">
      <pivotArea type="data" outline="0" fieldPosition="0">
        <references count="2">
          <reference field="4294967294" count="1" selected="0">
            <x v="0"/>
          </reference>
          <reference field="5" count="1" selected="0">
            <x v="11"/>
          </reference>
        </references>
      </pivotArea>
    </chartFormat>
    <chartFormat chart="1" format="3">
      <pivotArea type="data" outline="0" fieldPosition="0">
        <references count="2">
          <reference field="4294967294" count="1" selected="0">
            <x v="0"/>
          </reference>
          <reference field="5" count="1" selected="0">
            <x v="18"/>
          </reference>
        </references>
      </pivotArea>
    </chartFormat>
    <chartFormat chart="1" format="4">
      <pivotArea type="data" outline="0" fieldPosition="0">
        <references count="2">
          <reference field="4294967294" count="1" selected="0">
            <x v="0"/>
          </reference>
          <reference field="5" count="1" selected="0">
            <x v="8"/>
          </reference>
        </references>
      </pivotArea>
    </chartFormat>
    <chartFormat chart="1" format="5">
      <pivotArea type="data" outline="0" fieldPosition="0">
        <references count="2">
          <reference field="4294967294" count="1" selected="0">
            <x v="0"/>
          </reference>
          <reference field="5" count="1" selected="0">
            <x v="26"/>
          </reference>
        </references>
      </pivotArea>
    </chartFormat>
    <chartFormat chart="1" format="6">
      <pivotArea type="data" outline="0" fieldPosition="0">
        <references count="2">
          <reference field="4294967294" count="1" selected="0">
            <x v="0"/>
          </reference>
          <reference field="5" count="1" selected="0">
            <x v="28"/>
          </reference>
        </references>
      </pivotArea>
    </chartFormat>
    <chartFormat chart="1" format="7">
      <pivotArea type="data" outline="0" fieldPosition="0">
        <references count="2">
          <reference field="4294967294" count="1" selected="0">
            <x v="0"/>
          </reference>
          <reference field="5" count="1" selected="0">
            <x v="31"/>
          </reference>
        </references>
      </pivotArea>
    </chartFormat>
    <chartFormat chart="1" format="8">
      <pivotArea type="data" outline="0" fieldPosition="0">
        <references count="2">
          <reference field="4294967294" count="1" selected="0">
            <x v="0"/>
          </reference>
          <reference field="5" count="1" selected="0">
            <x v="35"/>
          </reference>
        </references>
      </pivotArea>
    </chartFormat>
    <chartFormat chart="1" format="9">
      <pivotArea type="data" outline="0" fieldPosition="0">
        <references count="2">
          <reference field="4294967294" count="1" selected="0">
            <x v="0"/>
          </reference>
          <reference field="5" count="1" selected="0">
            <x v="38"/>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5"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2">
  <location ref="L84:N90" firstHeaderRow="0" firstDataRow="1" firstDataCol="1"/>
  <pivotFields count="15">
    <pivotField showAll="0"/>
    <pivotField numFmtId="14" showAll="0"/>
    <pivotField showAll="0" defaultSubtotal="0"/>
    <pivotField numFmtId="14" showAll="0" defaultSubtotal="0"/>
    <pivotField showAll="0"/>
    <pivotField showAll="0"/>
    <pivotField axis="axisRow" showAll="0" measureFilter="1">
      <items count="28">
        <item x="12"/>
        <item x="26"/>
        <item x="14"/>
        <item x="10"/>
        <item x="11"/>
        <item x="16"/>
        <item x="2"/>
        <item x="20"/>
        <item x="5"/>
        <item x="19"/>
        <item x="21"/>
        <item x="15"/>
        <item x="0"/>
        <item x="13"/>
        <item x="9"/>
        <item x="1"/>
        <item x="22"/>
        <item x="24"/>
        <item x="23"/>
        <item x="25"/>
        <item x="17"/>
        <item x="6"/>
        <item x="4"/>
        <item x="3"/>
        <item x="8"/>
        <item x="18"/>
        <item x="7"/>
        <item t="default"/>
      </items>
    </pivotField>
    <pivotField showAll="0"/>
    <pivotField showAll="0"/>
    <pivotField showAll="0"/>
    <pivotField dataField="1" showAll="0"/>
    <pivotField dataField="1" showAll="0"/>
    <pivotField showAll="0"/>
    <pivotField showAll="0"/>
    <pivotField showAll="0"/>
  </pivotFields>
  <rowFields count="1">
    <field x="6"/>
  </rowFields>
  <rowItems count="6">
    <i>
      <x v="12"/>
    </i>
    <i>
      <x v="15"/>
    </i>
    <i>
      <x v="21"/>
    </i>
    <i>
      <x v="22"/>
    </i>
    <i>
      <x v="24"/>
    </i>
    <i t="grand">
      <x/>
    </i>
  </rowItems>
  <colFields count="1">
    <field x="-2"/>
  </colFields>
  <colItems count="2">
    <i>
      <x/>
    </i>
    <i i="1">
      <x v="1"/>
    </i>
  </colItems>
  <dataFields count="2">
    <dataField name="Sum of Total Quantity" fld="11" baseField="0" baseItem="0"/>
    <dataField name="Sum of Total Revenue" fld="10" baseField="0" baseItem="0" numFmtId="165"/>
  </dataFields>
  <formats count="2">
    <format dxfId="18">
      <pivotArea collapsedLevelsAreSubtotals="1" fieldPosition="0">
        <references count="1">
          <reference field="6" count="1">
            <x v="0"/>
          </reference>
        </references>
      </pivotArea>
    </format>
    <format dxfId="17">
      <pivotArea outline="0" collapsedLevelsAreSubtotals="1" fieldPosition="0">
        <references count="1">
          <reference field="4294967294" count="1" selected="0">
            <x v="1"/>
          </reference>
        </references>
      </pivotArea>
    </format>
  </formats>
  <chartFormats count="6">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2">
  <location ref="O53:P61" firstHeaderRow="1" firstDataRow="1" firstDataCol="1"/>
  <pivotFields count="2">
    <pivotField axis="axisRow" showAll="0">
      <items count="8">
        <item x="6"/>
        <item x="0"/>
        <item x="1"/>
        <item x="2"/>
        <item x="3"/>
        <item x="4"/>
        <item x="5"/>
        <item t="default"/>
      </items>
    </pivotField>
    <pivotField dataField="1" showAll="0"/>
  </pivotFields>
  <rowFields count="1">
    <field x="0"/>
  </rowFields>
  <rowItems count="8">
    <i>
      <x/>
    </i>
    <i>
      <x v="1"/>
    </i>
    <i>
      <x v="2"/>
    </i>
    <i>
      <x v="3"/>
    </i>
    <i>
      <x v="4"/>
    </i>
    <i>
      <x v="5"/>
    </i>
    <i>
      <x v="6"/>
    </i>
    <i t="grand">
      <x/>
    </i>
  </rowItems>
  <colItems count="1">
    <i/>
  </colItems>
  <dataFields count="1">
    <dataField name="Sum of Sum of Total Revenue" fld="1" baseField="0" baseItem="0" numFmtId="165"/>
  </dataFields>
  <formats count="1">
    <format dxfId="19">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6">
  <location ref="J18:L20" firstHeaderRow="0" firstDataRow="1" firstDataCol="1"/>
  <pivotFields count="15">
    <pivotField dataField="1" showAll="0"/>
    <pivotField numFmtId="14" showAll="0"/>
    <pivotField showAll="0" defaultSubtotal="0"/>
    <pivotField numFmtId="14" showAll="0" defaultSubtotal="0"/>
    <pivotField showAll="0"/>
    <pivotField showAll="0"/>
    <pivotField axis="axisRow" showAll="0">
      <items count="28">
        <item h="1" x="12"/>
        <item x="26"/>
        <item h="1" x="14"/>
        <item h="1" x="10"/>
        <item h="1" x="11"/>
        <item h="1" x="16"/>
        <item h="1" x="2"/>
        <item h="1" x="20"/>
        <item h="1" x="5"/>
        <item h="1" x="19"/>
        <item h="1" x="21"/>
        <item h="1" x="15"/>
        <item h="1" x="0"/>
        <item h="1" x="13"/>
        <item h="1" x="9"/>
        <item h="1" x="1"/>
        <item h="1" x="22"/>
        <item h="1" x="24"/>
        <item h="1" x="23"/>
        <item h="1" x="25"/>
        <item h="1" x="17"/>
        <item h="1" x="6"/>
        <item h="1" x="4"/>
        <item h="1" x="3"/>
        <item h="1" x="8"/>
        <item h="1" x="18"/>
        <item h="1" x="7"/>
        <item t="default"/>
      </items>
    </pivotField>
    <pivotField showAll="0"/>
    <pivotField showAll="0"/>
    <pivotField showAll="0"/>
    <pivotField showAll="0"/>
    <pivotField showAll="0"/>
    <pivotField showAll="0"/>
    <pivotField dataField="1" showAll="0"/>
    <pivotField showAll="0"/>
  </pivotFields>
  <rowFields count="1">
    <field x="6"/>
  </rowFields>
  <rowItems count="2">
    <i>
      <x v="1"/>
    </i>
    <i t="grand">
      <x/>
    </i>
  </rowItems>
  <colFields count="1">
    <field x="-2"/>
  </colFields>
  <colItems count="2">
    <i>
      <x/>
    </i>
    <i i="1">
      <x v="1"/>
    </i>
  </colItems>
  <dataFields count="2">
    <dataField name="Sum of Average Order value" fld="13" baseField="4" baseItem="0"/>
    <dataField name="Count of Order_id"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26:B34" firstHeaderRow="1" firstDataRow="1" firstDataCol="1"/>
  <pivotFields count="15">
    <pivotField showAll="0"/>
    <pivotField numFmtId="14" showAll="0"/>
    <pivotField showAll="0" defaultSubtotal="0"/>
    <pivotField numFmtId="14" showAll="0" defaultSubtotal="0"/>
    <pivotField showAll="0" measureFilter="1"/>
    <pivotField axis="axisRow" showAll="0" measureFilter="1">
      <items count="51">
        <item x="28"/>
        <item x="6"/>
        <item x="46"/>
        <item x="39"/>
        <item x="26"/>
        <item x="0"/>
        <item x="10"/>
        <item x="12"/>
        <item x="4"/>
        <item x="17"/>
        <item x="27"/>
        <item x="2"/>
        <item x="37"/>
        <item x="41"/>
        <item x="42"/>
        <item x="22"/>
        <item x="35"/>
        <item x="30"/>
        <item x="3"/>
        <item x="45"/>
        <item x="14"/>
        <item x="49"/>
        <item x="7"/>
        <item x="36"/>
        <item x="25"/>
        <item x="48"/>
        <item x="8"/>
        <item x="38"/>
        <item x="9"/>
        <item x="20"/>
        <item x="31"/>
        <item x="1"/>
        <item x="18"/>
        <item x="13"/>
        <item x="40"/>
        <item x="43"/>
        <item x="11"/>
        <item x="5"/>
        <item x="24"/>
        <item x="23"/>
        <item x="33"/>
        <item x="47"/>
        <item x="44"/>
        <item x="15"/>
        <item x="19"/>
        <item x="32"/>
        <item x="34"/>
        <item x="29"/>
        <item x="21"/>
        <item x="16"/>
        <item t="default"/>
      </items>
    </pivotField>
    <pivotField showAll="0"/>
    <pivotField showAll="0"/>
    <pivotField showAll="0"/>
    <pivotField showAll="0"/>
    <pivotField dataField="1" showAll="0"/>
    <pivotField showAll="0"/>
    <pivotField showAll="0"/>
    <pivotField showAll="0"/>
    <pivotField showAll="0"/>
  </pivotFields>
  <rowFields count="1">
    <field x="5"/>
  </rowFields>
  <rowItems count="8">
    <i>
      <x v="8"/>
    </i>
    <i>
      <x v="11"/>
    </i>
    <i>
      <x v="14"/>
    </i>
    <i>
      <x v="26"/>
    </i>
    <i>
      <x v="28"/>
    </i>
    <i>
      <x v="29"/>
    </i>
    <i>
      <x v="31"/>
    </i>
    <i t="grand">
      <x/>
    </i>
  </rowItems>
  <colItems count="1">
    <i/>
  </colItems>
  <dataFields count="1">
    <dataField name="Sum of Total Revenue" fld="10" baseField="0"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31"/>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 type="count" evalOrder="-1" id="2" iMeasureFld="0">
      <autoFilter ref="A1">
        <filterColumn colId="0">
          <top10 val="10" filterVal="10"/>
        </filterColumn>
      </autoFilter>
    </filter>
    <filter fld="5" type="count" evalOrder="-1" id="3"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2:B23" firstHeaderRow="1" firstDataRow="1" firstDataCol="1"/>
  <pivotFields count="15">
    <pivotField showAll="0"/>
    <pivotField numFmtId="14" showAll="0"/>
    <pivotField showAll="0" defaultSubtotal="0"/>
    <pivotField numFmtId="14" showAll="0" defaultSubtotal="0"/>
    <pivotField axis="axisRow" showAll="0" measureFilter="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dataField="1" showAll="0"/>
    <pivotField showAll="0"/>
    <pivotField showAll="0"/>
    <pivotField showAll="0"/>
    <pivotField showAll="0"/>
  </pivotFields>
  <rowFields count="1">
    <field x="4"/>
  </rowFields>
  <rowItems count="11">
    <i>
      <x v="1"/>
    </i>
    <i>
      <x v="2"/>
    </i>
    <i>
      <x v="4"/>
    </i>
    <i>
      <x v="7"/>
    </i>
    <i>
      <x v="8"/>
    </i>
    <i>
      <x v="9"/>
    </i>
    <i>
      <x v="20"/>
    </i>
    <i>
      <x v="24"/>
    </i>
    <i>
      <x v="33"/>
    </i>
    <i>
      <x v="42"/>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9" firstHeaderRow="1" firstDataRow="1" firstDataCol="1"/>
  <pivotFields count="15">
    <pivotField showAll="0"/>
    <pivotField axis="axisRow" numFmtId="14" showAll="0" measureFilter="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defaultSubtotal="0"/>
    <pivotField numFmtId="14" showAll="0" defaultSubtotal="0"/>
    <pivotField showAll="0"/>
    <pivotField showAll="0"/>
    <pivotField showAll="0"/>
    <pivotField showAll="0"/>
    <pivotField showAll="0"/>
    <pivotField showAll="0"/>
    <pivotField dataField="1" showAll="0"/>
    <pivotField showAll="0"/>
    <pivotField showAll="0"/>
    <pivotField showAll="0"/>
    <pivotField showAll="0"/>
  </pivotFields>
  <rowFields count="1">
    <field x="1"/>
  </rowFields>
  <rowItems count="6">
    <i>
      <x v="2"/>
    </i>
    <i>
      <x v="4"/>
    </i>
    <i>
      <x v="8"/>
    </i>
    <i>
      <x v="9"/>
    </i>
    <i>
      <x v="42"/>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6"/>
    <pivotTable tabId="5" name="PivotTable23"/>
  </pivotTables>
  <data>
    <tabular pivotCacheId="1">
      <items count="27">
        <i x="12"/>
        <i x="26" s="1"/>
        <i x="14"/>
        <i x="10"/>
        <i x="11"/>
        <i x="16"/>
        <i x="2"/>
        <i x="20"/>
        <i x="5"/>
        <i x="19"/>
        <i x="21"/>
        <i x="15"/>
        <i x="0"/>
        <i x="13"/>
        <i x="9"/>
        <i x="1"/>
        <i x="22"/>
        <i x="24"/>
        <i x="23"/>
        <i x="25"/>
        <i x="17"/>
        <i x="6"/>
        <i x="4"/>
        <i x="3"/>
        <i x="8"/>
        <i x="18"/>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3"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S152"/>
  <sheetViews>
    <sheetView topLeftCell="A4" workbookViewId="0">
      <selection activeCell="F15" sqref="F15"/>
    </sheetView>
  </sheetViews>
  <sheetFormatPr defaultRowHeight="15" x14ac:dyDescent="0.25"/>
  <cols>
    <col min="1" max="1" width="13.140625" customWidth="1"/>
    <col min="2" max="2" width="20.5703125" bestFit="1" customWidth="1"/>
    <col min="5" max="5" width="17.7109375" bestFit="1" customWidth="1"/>
    <col min="6" max="6" width="20.5703125" bestFit="1" customWidth="1"/>
    <col min="8" max="8" width="13.140625" bestFit="1" customWidth="1"/>
    <col min="9" max="9" width="12.140625" customWidth="1"/>
    <col min="10" max="10" width="20.5703125" customWidth="1"/>
    <col min="11" max="11" width="26.28515625" customWidth="1"/>
    <col min="12" max="12" width="17" customWidth="1"/>
    <col min="13" max="13" width="17.7109375" customWidth="1"/>
    <col min="14" max="14" width="20.5703125" customWidth="1"/>
    <col min="15" max="15" width="13.140625" customWidth="1"/>
    <col min="16" max="16" width="27.42578125" customWidth="1"/>
    <col min="17" max="17" width="13.140625" customWidth="1"/>
    <col min="18" max="18" width="20.42578125" customWidth="1"/>
    <col min="19" max="19" width="20.5703125" customWidth="1"/>
    <col min="20" max="28" width="5" bestFit="1" customWidth="1"/>
    <col min="29" max="30" width="4" bestFit="1" customWidth="1"/>
    <col min="31" max="33" width="5" bestFit="1" customWidth="1"/>
    <col min="34" max="34" width="6" bestFit="1" customWidth="1"/>
    <col min="35" max="35" width="5" bestFit="1" customWidth="1"/>
    <col min="36" max="36" width="4" bestFit="1" customWidth="1"/>
    <col min="37" max="38" width="5" bestFit="1" customWidth="1"/>
    <col min="39" max="42" width="4" bestFit="1" customWidth="1"/>
    <col min="43" max="43" width="5" bestFit="1" customWidth="1"/>
    <col min="44" max="44" width="4" bestFit="1" customWidth="1"/>
    <col min="45" max="46" width="5" bestFit="1" customWidth="1"/>
    <col min="47" max="47" width="4" bestFit="1" customWidth="1"/>
    <col min="48" max="48" width="5" bestFit="1" customWidth="1"/>
    <col min="49" max="49" width="4" bestFit="1" customWidth="1"/>
    <col min="50" max="53" width="5" bestFit="1" customWidth="1"/>
    <col min="54" max="54" width="6" bestFit="1" customWidth="1"/>
    <col min="55" max="56" width="5" bestFit="1" customWidth="1"/>
    <col min="57" max="59" width="4" bestFit="1" customWidth="1"/>
    <col min="60" max="60" width="11.28515625" bestFit="1" customWidth="1"/>
  </cols>
  <sheetData>
    <row r="3" spans="1:16" x14ac:dyDescent="0.25">
      <c r="A3" s="16" t="s">
        <v>141</v>
      </c>
      <c r="B3" t="s">
        <v>140</v>
      </c>
      <c r="E3" s="16" t="s">
        <v>141</v>
      </c>
      <c r="F3" t="s">
        <v>140</v>
      </c>
      <c r="I3" t="s">
        <v>140</v>
      </c>
    </row>
    <row r="4" spans="1:16" x14ac:dyDescent="0.25">
      <c r="A4" s="17" t="s">
        <v>20</v>
      </c>
      <c r="B4" s="20">
        <v>75999</v>
      </c>
      <c r="E4" s="17" t="s">
        <v>139</v>
      </c>
      <c r="F4" s="21">
        <v>999</v>
      </c>
      <c r="I4" s="15">
        <v>588781</v>
      </c>
    </row>
    <row r="5" spans="1:16" x14ac:dyDescent="0.25">
      <c r="A5" s="17" t="s">
        <v>18</v>
      </c>
      <c r="B5" s="20">
        <v>38394</v>
      </c>
      <c r="E5" s="17" t="s">
        <v>51</v>
      </c>
      <c r="F5" s="22">
        <v>1499</v>
      </c>
    </row>
    <row r="6" spans="1:16" x14ac:dyDescent="0.25">
      <c r="A6" s="17" t="s">
        <v>36</v>
      </c>
      <c r="B6" s="20">
        <v>35994</v>
      </c>
      <c r="E6" s="17" t="s">
        <v>53</v>
      </c>
      <c r="F6" s="22">
        <v>1998</v>
      </c>
      <c r="O6" s="16" t="s">
        <v>141</v>
      </c>
      <c r="P6" t="s">
        <v>143</v>
      </c>
    </row>
    <row r="7" spans="1:16" x14ac:dyDescent="0.25">
      <c r="A7" s="17" t="s">
        <v>26</v>
      </c>
      <c r="B7" s="20">
        <v>125096</v>
      </c>
      <c r="E7" s="17" t="s">
        <v>71</v>
      </c>
      <c r="F7" s="21">
        <v>349</v>
      </c>
      <c r="H7" s="16" t="s">
        <v>141</v>
      </c>
      <c r="I7" t="s">
        <v>154</v>
      </c>
      <c r="O7" s="17" t="s">
        <v>139</v>
      </c>
      <c r="P7" s="15">
        <v>999</v>
      </c>
    </row>
    <row r="8" spans="1:16" x14ac:dyDescent="0.25">
      <c r="A8" s="17" t="s">
        <v>43</v>
      </c>
      <c r="B8" s="20">
        <v>151293</v>
      </c>
      <c r="E8" s="17" t="s">
        <v>128</v>
      </c>
      <c r="F8" s="21">
        <v>2998</v>
      </c>
      <c r="H8" s="17" t="s">
        <v>148</v>
      </c>
      <c r="I8" s="15">
        <v>21389</v>
      </c>
      <c r="O8" s="17" t="s">
        <v>142</v>
      </c>
      <c r="P8" s="15">
        <v>999</v>
      </c>
    </row>
    <row r="9" spans="1:16" x14ac:dyDescent="0.25">
      <c r="A9" s="17" t="s">
        <v>142</v>
      </c>
      <c r="B9" s="20">
        <v>426776</v>
      </c>
      <c r="E9" s="17" t="s">
        <v>133</v>
      </c>
      <c r="F9" s="21">
        <v>798</v>
      </c>
      <c r="H9" s="17" t="s">
        <v>146</v>
      </c>
      <c r="I9" s="15">
        <v>50690</v>
      </c>
    </row>
    <row r="10" spans="1:16" x14ac:dyDescent="0.25">
      <c r="E10" s="17" t="s">
        <v>131</v>
      </c>
      <c r="F10" s="21">
        <v>2397</v>
      </c>
      <c r="H10" s="17" t="s">
        <v>149</v>
      </c>
      <c r="I10" s="15">
        <v>80689</v>
      </c>
    </row>
    <row r="11" spans="1:16" x14ac:dyDescent="0.25">
      <c r="E11" s="17" t="s">
        <v>136</v>
      </c>
      <c r="F11" s="21">
        <v>499</v>
      </c>
      <c r="H11" s="17" t="s">
        <v>150</v>
      </c>
      <c r="I11" s="15">
        <v>135892</v>
      </c>
    </row>
    <row r="12" spans="1:16" x14ac:dyDescent="0.25">
      <c r="E12" s="17" t="s">
        <v>89</v>
      </c>
      <c r="F12" s="21">
        <v>899</v>
      </c>
      <c r="H12" s="17" t="s">
        <v>151</v>
      </c>
      <c r="I12" s="15">
        <v>60892</v>
      </c>
    </row>
    <row r="13" spans="1:16" x14ac:dyDescent="0.25">
      <c r="E13" s="17" t="s">
        <v>91</v>
      </c>
      <c r="F13" s="21">
        <v>2598</v>
      </c>
      <c r="H13" s="17" t="s">
        <v>152</v>
      </c>
      <c r="I13" s="15">
        <v>58688</v>
      </c>
    </row>
    <row r="14" spans="1:16" x14ac:dyDescent="0.25">
      <c r="E14" s="17" t="s">
        <v>142</v>
      </c>
      <c r="F14" s="21">
        <v>15034</v>
      </c>
      <c r="H14" s="17" t="s">
        <v>153</v>
      </c>
      <c r="I14" s="15">
        <v>10838</v>
      </c>
    </row>
    <row r="15" spans="1:16" x14ac:dyDescent="0.25">
      <c r="H15" s="17" t="s">
        <v>142</v>
      </c>
      <c r="I15" s="15">
        <v>419078</v>
      </c>
    </row>
    <row r="18" spans="8:17" x14ac:dyDescent="0.25">
      <c r="J18" s="16" t="s">
        <v>141</v>
      </c>
      <c r="K18" t="s">
        <v>143</v>
      </c>
      <c r="L18" t="s">
        <v>144</v>
      </c>
      <c r="O18" s="6"/>
      <c r="P18" s="7"/>
      <c r="Q18" s="8"/>
    </row>
    <row r="19" spans="8:17" x14ac:dyDescent="0.25">
      <c r="J19" s="17" t="s">
        <v>139</v>
      </c>
      <c r="K19" s="15">
        <v>999</v>
      </c>
      <c r="L19" s="15">
        <v>1</v>
      </c>
      <c r="O19" s="9"/>
      <c r="P19" s="10"/>
      <c r="Q19" s="11"/>
    </row>
    <row r="20" spans="8:17" x14ac:dyDescent="0.25">
      <c r="J20" s="17" t="s">
        <v>142</v>
      </c>
      <c r="K20" s="15">
        <v>999</v>
      </c>
      <c r="L20" s="15">
        <v>1</v>
      </c>
      <c r="O20" s="9"/>
      <c r="P20" s="10"/>
      <c r="Q20" s="11"/>
    </row>
    <row r="21" spans="8:17" x14ac:dyDescent="0.25">
      <c r="O21" s="9"/>
      <c r="P21" s="10"/>
      <c r="Q21" s="11"/>
    </row>
    <row r="22" spans="8:17" x14ac:dyDescent="0.25">
      <c r="H22" s="16" t="s">
        <v>141</v>
      </c>
      <c r="I22" t="s">
        <v>140</v>
      </c>
      <c r="O22" s="9"/>
      <c r="P22" s="10"/>
      <c r="Q22" s="11"/>
    </row>
    <row r="23" spans="8:17" x14ac:dyDescent="0.25">
      <c r="H23" s="17" t="s">
        <v>25</v>
      </c>
      <c r="I23" s="15">
        <v>45999</v>
      </c>
      <c r="O23" s="9"/>
      <c r="P23" s="10"/>
      <c r="Q23" s="11"/>
    </row>
    <row r="24" spans="8:17" x14ac:dyDescent="0.25">
      <c r="H24" s="17" t="s">
        <v>20</v>
      </c>
      <c r="I24" s="15">
        <v>75999</v>
      </c>
      <c r="O24" s="9"/>
      <c r="P24" s="10"/>
      <c r="Q24" s="11"/>
    </row>
    <row r="25" spans="8:17" x14ac:dyDescent="0.25">
      <c r="H25" s="17" t="s">
        <v>119</v>
      </c>
      <c r="I25" s="15">
        <v>100000</v>
      </c>
      <c r="O25" s="9"/>
      <c r="P25" s="10"/>
      <c r="Q25" s="11"/>
    </row>
    <row r="26" spans="8:17" x14ac:dyDescent="0.25">
      <c r="H26" s="17" t="s">
        <v>35</v>
      </c>
      <c r="I26" s="15">
        <v>28999</v>
      </c>
      <c r="O26" s="9"/>
      <c r="P26" s="10"/>
      <c r="Q26" s="11"/>
    </row>
    <row r="27" spans="8:17" x14ac:dyDescent="0.25">
      <c r="H27" s="17" t="s">
        <v>39</v>
      </c>
      <c r="I27" s="15">
        <v>32999</v>
      </c>
      <c r="O27" s="9"/>
      <c r="P27" s="10"/>
      <c r="Q27" s="11"/>
    </row>
    <row r="28" spans="8:17" x14ac:dyDescent="0.25">
      <c r="H28" s="17" t="s">
        <v>42</v>
      </c>
      <c r="I28" s="15">
        <v>37999</v>
      </c>
      <c r="O28" s="9"/>
      <c r="P28" s="10"/>
      <c r="Q28" s="11"/>
    </row>
    <row r="29" spans="8:17" x14ac:dyDescent="0.25">
      <c r="H29" s="17" t="s">
        <v>73</v>
      </c>
      <c r="I29" s="15">
        <v>30000</v>
      </c>
      <c r="O29" s="9"/>
      <c r="P29" s="10"/>
      <c r="Q29" s="11"/>
    </row>
    <row r="30" spans="8:17" x14ac:dyDescent="0.25">
      <c r="H30" s="17" t="s">
        <v>17</v>
      </c>
      <c r="I30" s="15">
        <v>31998</v>
      </c>
      <c r="O30" s="9"/>
      <c r="P30" s="10"/>
      <c r="Q30" s="11"/>
    </row>
    <row r="31" spans="8:17" x14ac:dyDescent="0.25">
      <c r="H31" s="17" t="s">
        <v>82</v>
      </c>
      <c r="I31" s="15">
        <v>25999</v>
      </c>
      <c r="O31" s="9"/>
      <c r="P31" s="10"/>
      <c r="Q31" s="11"/>
    </row>
    <row r="32" spans="8:17" x14ac:dyDescent="0.25">
      <c r="H32" s="17" t="s">
        <v>105</v>
      </c>
      <c r="I32" s="15">
        <v>25098</v>
      </c>
      <c r="O32" s="9"/>
      <c r="P32" s="10"/>
      <c r="Q32" s="11"/>
    </row>
    <row r="33" spans="8:19" x14ac:dyDescent="0.25">
      <c r="H33" s="17" t="s">
        <v>142</v>
      </c>
      <c r="I33" s="15">
        <v>435090</v>
      </c>
      <c r="O33" s="9"/>
      <c r="P33" s="10"/>
      <c r="Q33" s="11"/>
    </row>
    <row r="34" spans="8:19" x14ac:dyDescent="0.25">
      <c r="O34" s="9"/>
      <c r="P34" s="10"/>
      <c r="Q34" s="11"/>
    </row>
    <row r="35" spans="8:19" x14ac:dyDescent="0.25">
      <c r="O35" s="12"/>
      <c r="P35" s="13"/>
      <c r="Q35" s="14"/>
    </row>
    <row r="36" spans="8:19" x14ac:dyDescent="0.25">
      <c r="H36" s="16" t="s">
        <v>141</v>
      </c>
      <c r="I36" t="s">
        <v>140</v>
      </c>
    </row>
    <row r="37" spans="8:19" x14ac:dyDescent="0.25">
      <c r="H37" s="19">
        <v>45293</v>
      </c>
      <c r="I37" s="15">
        <v>31998</v>
      </c>
    </row>
    <row r="38" spans="8:19" x14ac:dyDescent="0.25">
      <c r="H38" s="19">
        <v>45294</v>
      </c>
      <c r="I38" s="15">
        <v>75999</v>
      </c>
    </row>
    <row r="39" spans="8:19" x14ac:dyDescent="0.25">
      <c r="H39" s="19">
        <v>45296</v>
      </c>
      <c r="I39" s="15">
        <v>45999</v>
      </c>
    </row>
    <row r="40" spans="8:19" x14ac:dyDescent="0.25">
      <c r="H40" s="19">
        <v>45300</v>
      </c>
      <c r="I40" s="15">
        <v>32999</v>
      </c>
      <c r="O40" s="16" t="s">
        <v>141</v>
      </c>
      <c r="P40" t="s">
        <v>140</v>
      </c>
    </row>
    <row r="41" spans="8:19" x14ac:dyDescent="0.25">
      <c r="H41" s="19">
        <v>45301</v>
      </c>
      <c r="I41" s="15">
        <v>37999</v>
      </c>
      <c r="O41" s="17">
        <v>2</v>
      </c>
      <c r="P41" s="15">
        <v>31998</v>
      </c>
    </row>
    <row r="42" spans="8:19" x14ac:dyDescent="0.25">
      <c r="H42" s="19" t="s">
        <v>142</v>
      </c>
      <c r="I42" s="15">
        <v>224994</v>
      </c>
      <c r="O42" s="17">
        <v>3</v>
      </c>
      <c r="P42" s="15">
        <v>75999</v>
      </c>
    </row>
    <row r="43" spans="8:19" x14ac:dyDescent="0.25">
      <c r="O43" s="17">
        <v>4</v>
      </c>
      <c r="P43" s="15">
        <v>18999</v>
      </c>
    </row>
    <row r="44" spans="8:19" x14ac:dyDescent="0.25">
      <c r="O44" s="17">
        <v>5</v>
      </c>
      <c r="P44" s="15">
        <v>45999</v>
      </c>
    </row>
    <row r="45" spans="8:19" x14ac:dyDescent="0.25">
      <c r="O45" s="17">
        <v>8</v>
      </c>
      <c r="P45" s="15">
        <v>28999</v>
      </c>
    </row>
    <row r="46" spans="8:19" x14ac:dyDescent="0.25">
      <c r="I46" s="16" t="s">
        <v>147</v>
      </c>
      <c r="J46" t="s">
        <v>140</v>
      </c>
      <c r="O46" s="17">
        <v>9</v>
      </c>
      <c r="P46" s="15">
        <v>32999</v>
      </c>
    </row>
    <row r="47" spans="8:19" x14ac:dyDescent="0.25">
      <c r="I47" s="19">
        <v>45292</v>
      </c>
      <c r="J47" s="15">
        <v>4999</v>
      </c>
      <c r="K47" s="15"/>
      <c r="O47" s="17">
        <v>10</v>
      </c>
      <c r="P47" s="15">
        <v>37999</v>
      </c>
      <c r="Q47" s="16" t="s">
        <v>141</v>
      </c>
      <c r="R47" t="s">
        <v>145</v>
      </c>
      <c r="S47" t="s">
        <v>140</v>
      </c>
    </row>
    <row r="48" spans="8:19" x14ac:dyDescent="0.25">
      <c r="I48" s="19">
        <v>45293</v>
      </c>
      <c r="J48" s="15">
        <v>31998</v>
      </c>
      <c r="O48" s="17">
        <v>25</v>
      </c>
      <c r="P48" s="15">
        <v>25999</v>
      </c>
      <c r="Q48" s="17" t="s">
        <v>14</v>
      </c>
      <c r="R48" s="15">
        <v>16</v>
      </c>
      <c r="S48" s="15">
        <v>8094</v>
      </c>
    </row>
    <row r="49" spans="9:19" x14ac:dyDescent="0.25">
      <c r="I49" s="19">
        <v>45294</v>
      </c>
      <c r="J49" s="15">
        <v>75999</v>
      </c>
      <c r="O49" s="17">
        <v>44</v>
      </c>
      <c r="P49" s="15">
        <v>7999</v>
      </c>
      <c r="Q49" s="17" t="s">
        <v>18</v>
      </c>
      <c r="R49" s="15">
        <v>11</v>
      </c>
      <c r="S49" s="15">
        <v>38394</v>
      </c>
    </row>
    <row r="50" spans="9:19" x14ac:dyDescent="0.25">
      <c r="I50" s="19">
        <v>45295</v>
      </c>
      <c r="J50" s="15">
        <v>18999</v>
      </c>
      <c r="O50" s="17">
        <v>45</v>
      </c>
      <c r="P50" s="15">
        <v>10999</v>
      </c>
      <c r="Q50" s="17" t="s">
        <v>36</v>
      </c>
      <c r="R50" s="15">
        <v>16</v>
      </c>
      <c r="S50" s="15">
        <v>35994</v>
      </c>
    </row>
    <row r="51" spans="9:19" x14ac:dyDescent="0.25">
      <c r="I51" s="19">
        <v>45296</v>
      </c>
      <c r="J51" s="15">
        <v>45999</v>
      </c>
      <c r="O51" s="17" t="s">
        <v>142</v>
      </c>
      <c r="P51" s="15">
        <v>317989</v>
      </c>
      <c r="Q51" s="17" t="s">
        <v>26</v>
      </c>
      <c r="R51" s="15">
        <v>20</v>
      </c>
      <c r="S51" s="15">
        <v>125096</v>
      </c>
    </row>
    <row r="52" spans="9:19" x14ac:dyDescent="0.25">
      <c r="I52" s="19">
        <v>45297</v>
      </c>
      <c r="J52" s="15">
        <v>3897</v>
      </c>
      <c r="Q52" s="17" t="s">
        <v>43</v>
      </c>
      <c r="R52" s="15">
        <v>27</v>
      </c>
      <c r="S52" s="15">
        <v>151293</v>
      </c>
    </row>
    <row r="53" spans="9:19" x14ac:dyDescent="0.25">
      <c r="I53" s="19">
        <v>45298</v>
      </c>
      <c r="J53" s="15">
        <v>6998</v>
      </c>
      <c r="O53" s="16" t="s">
        <v>141</v>
      </c>
      <c r="P53" t="s">
        <v>154</v>
      </c>
      <c r="Q53" s="17" t="s">
        <v>142</v>
      </c>
      <c r="R53" s="15">
        <v>90</v>
      </c>
      <c r="S53" s="15">
        <v>358871</v>
      </c>
    </row>
    <row r="54" spans="9:19" x14ac:dyDescent="0.25">
      <c r="I54" s="19">
        <v>45299</v>
      </c>
      <c r="J54" s="15">
        <v>28999</v>
      </c>
      <c r="O54" s="17" t="s">
        <v>148</v>
      </c>
      <c r="P54" s="21">
        <v>21389</v>
      </c>
    </row>
    <row r="55" spans="9:19" x14ac:dyDescent="0.25">
      <c r="I55" s="19">
        <v>45300</v>
      </c>
      <c r="J55" s="15">
        <v>32999</v>
      </c>
      <c r="O55" s="17" t="s">
        <v>146</v>
      </c>
      <c r="P55" s="21">
        <v>50690</v>
      </c>
    </row>
    <row r="56" spans="9:19" x14ac:dyDescent="0.25">
      <c r="I56" s="19">
        <v>45301</v>
      </c>
      <c r="J56" s="15">
        <v>37999</v>
      </c>
      <c r="O56" s="17" t="s">
        <v>149</v>
      </c>
      <c r="P56" s="21">
        <v>80689</v>
      </c>
    </row>
    <row r="57" spans="9:19" x14ac:dyDescent="0.25">
      <c r="I57" s="19">
        <v>45302</v>
      </c>
      <c r="J57" s="15">
        <v>1598</v>
      </c>
      <c r="O57" s="17" t="s">
        <v>150</v>
      </c>
      <c r="P57" s="21">
        <v>135892</v>
      </c>
    </row>
    <row r="58" spans="9:19" x14ac:dyDescent="0.25">
      <c r="I58" s="19">
        <v>45303</v>
      </c>
      <c r="J58" s="15">
        <v>1499</v>
      </c>
      <c r="O58" s="17" t="s">
        <v>151</v>
      </c>
      <c r="P58" s="21">
        <v>60892</v>
      </c>
    </row>
    <row r="59" spans="9:19" x14ac:dyDescent="0.25">
      <c r="I59" s="19">
        <v>45304</v>
      </c>
      <c r="J59" s="15">
        <v>1998</v>
      </c>
      <c r="O59" s="17" t="s">
        <v>152</v>
      </c>
      <c r="P59" s="21">
        <v>58688</v>
      </c>
    </row>
    <row r="60" spans="9:19" x14ac:dyDescent="0.25">
      <c r="I60" s="19">
        <v>45305</v>
      </c>
      <c r="J60" s="15">
        <v>2499</v>
      </c>
      <c r="O60" s="17" t="s">
        <v>153</v>
      </c>
      <c r="P60" s="21">
        <v>10838</v>
      </c>
    </row>
    <row r="61" spans="9:19" x14ac:dyDescent="0.25">
      <c r="I61" s="19">
        <v>45306</v>
      </c>
      <c r="J61" s="15">
        <v>3299</v>
      </c>
      <c r="O61" s="17" t="s">
        <v>142</v>
      </c>
      <c r="P61" s="21">
        <v>419078</v>
      </c>
    </row>
    <row r="62" spans="9:19" x14ac:dyDescent="0.25">
      <c r="I62" s="19">
        <v>45307</v>
      </c>
      <c r="J62" s="15">
        <v>2799</v>
      </c>
    </row>
    <row r="63" spans="9:19" x14ac:dyDescent="0.25">
      <c r="I63" s="19">
        <v>45308</v>
      </c>
      <c r="J63" s="15">
        <v>4398</v>
      </c>
    </row>
    <row r="64" spans="9:19" x14ac:dyDescent="0.25">
      <c r="I64" s="19">
        <v>45309</v>
      </c>
      <c r="J64" s="15">
        <v>20000</v>
      </c>
      <c r="L64" s="15"/>
    </row>
    <row r="65" spans="9:14" x14ac:dyDescent="0.25">
      <c r="I65" s="19">
        <v>45310</v>
      </c>
      <c r="J65" s="15">
        <v>1198</v>
      </c>
      <c r="L65" s="15"/>
    </row>
    <row r="66" spans="9:14" x14ac:dyDescent="0.25">
      <c r="I66" s="19">
        <v>45311</v>
      </c>
      <c r="J66" s="15">
        <v>349</v>
      </c>
      <c r="L66" s="15"/>
    </row>
    <row r="67" spans="9:14" x14ac:dyDescent="0.25">
      <c r="I67" s="19">
        <v>45312</v>
      </c>
      <c r="J67" s="15">
        <v>30000</v>
      </c>
      <c r="L67" s="15"/>
    </row>
    <row r="68" spans="9:14" x14ac:dyDescent="0.25">
      <c r="I68" s="19">
        <v>45313</v>
      </c>
      <c r="J68" s="15">
        <v>1398</v>
      </c>
      <c r="L68" s="15"/>
      <c r="M68" s="17"/>
      <c r="N68" s="15"/>
    </row>
    <row r="69" spans="9:14" x14ac:dyDescent="0.25">
      <c r="I69" s="19">
        <v>45314</v>
      </c>
      <c r="J69" s="15">
        <v>4999</v>
      </c>
      <c r="L69" s="15"/>
      <c r="M69" s="17"/>
      <c r="N69" s="15"/>
    </row>
    <row r="70" spans="9:14" x14ac:dyDescent="0.25">
      <c r="I70" s="19">
        <v>45315</v>
      </c>
      <c r="J70" s="15">
        <v>2499</v>
      </c>
      <c r="L70" s="15"/>
      <c r="M70" s="17"/>
      <c r="N70" s="15"/>
    </row>
    <row r="71" spans="9:14" x14ac:dyDescent="0.25">
      <c r="I71" s="19">
        <v>45316</v>
      </c>
      <c r="J71" s="15">
        <v>25999</v>
      </c>
      <c r="L71" s="15"/>
      <c r="M71" s="17"/>
      <c r="N71" s="15"/>
    </row>
    <row r="72" spans="9:14" x14ac:dyDescent="0.25">
      <c r="I72" s="19">
        <v>45317</v>
      </c>
      <c r="J72" s="15">
        <v>3598</v>
      </c>
      <c r="L72" s="15"/>
      <c r="M72" s="17"/>
      <c r="N72" s="15"/>
    </row>
    <row r="73" spans="9:14" x14ac:dyDescent="0.25">
      <c r="I73" s="19">
        <v>45318</v>
      </c>
      <c r="J73" s="15">
        <v>899</v>
      </c>
      <c r="L73" s="15"/>
      <c r="M73" s="17"/>
      <c r="N73" s="15"/>
    </row>
    <row r="74" spans="9:14" x14ac:dyDescent="0.25">
      <c r="I74" s="19">
        <v>45319</v>
      </c>
      <c r="J74" s="15">
        <v>2598</v>
      </c>
      <c r="L74" s="15"/>
      <c r="M74" s="17"/>
      <c r="N74" s="15"/>
    </row>
    <row r="75" spans="9:14" x14ac:dyDescent="0.25">
      <c r="I75" s="19">
        <v>45320</v>
      </c>
      <c r="J75" s="15">
        <v>6499</v>
      </c>
      <c r="L75" s="15"/>
      <c r="M75" s="17"/>
      <c r="N75" s="15"/>
    </row>
    <row r="76" spans="9:14" x14ac:dyDescent="0.25">
      <c r="I76" s="19">
        <v>45321</v>
      </c>
      <c r="J76" s="15">
        <v>897</v>
      </c>
      <c r="L76" s="16" t="s">
        <v>141</v>
      </c>
      <c r="M76" t="s">
        <v>145</v>
      </c>
      <c r="N76" t="s">
        <v>140</v>
      </c>
    </row>
    <row r="77" spans="9:14" x14ac:dyDescent="0.25">
      <c r="I77" s="19">
        <v>45323</v>
      </c>
      <c r="J77" s="15">
        <v>899</v>
      </c>
      <c r="L77" s="17" t="s">
        <v>14</v>
      </c>
      <c r="M77" s="15">
        <v>16</v>
      </c>
      <c r="N77" s="21">
        <v>8094</v>
      </c>
    </row>
    <row r="78" spans="9:14" x14ac:dyDescent="0.25">
      <c r="I78" s="19">
        <v>45324</v>
      </c>
      <c r="J78" s="15">
        <v>998</v>
      </c>
      <c r="L78" s="17" t="s">
        <v>18</v>
      </c>
      <c r="M78" s="15">
        <v>11</v>
      </c>
      <c r="N78" s="21">
        <v>38394</v>
      </c>
    </row>
    <row r="79" spans="9:14" x14ac:dyDescent="0.25">
      <c r="I79" s="19">
        <v>45325</v>
      </c>
      <c r="J79" s="15">
        <v>3999</v>
      </c>
      <c r="L79" s="17" t="s">
        <v>36</v>
      </c>
      <c r="M79" s="15">
        <v>16</v>
      </c>
      <c r="N79" s="21">
        <v>35994</v>
      </c>
    </row>
    <row r="80" spans="9:14" x14ac:dyDescent="0.25">
      <c r="I80" s="19">
        <v>45326</v>
      </c>
      <c r="J80" s="15">
        <v>25098</v>
      </c>
      <c r="L80" s="17" t="s">
        <v>26</v>
      </c>
      <c r="M80" s="15">
        <v>20</v>
      </c>
      <c r="N80" s="21">
        <v>125096</v>
      </c>
    </row>
    <row r="81" spans="9:14" x14ac:dyDescent="0.25">
      <c r="I81" s="19">
        <v>45327</v>
      </c>
      <c r="J81" s="15">
        <v>999</v>
      </c>
      <c r="L81" s="17" t="s">
        <v>43</v>
      </c>
      <c r="M81" s="15">
        <v>27</v>
      </c>
      <c r="N81" s="21">
        <v>151293</v>
      </c>
    </row>
    <row r="82" spans="9:14" x14ac:dyDescent="0.25">
      <c r="I82" s="19">
        <v>45328</v>
      </c>
      <c r="J82" s="15">
        <v>2499</v>
      </c>
      <c r="L82" s="17" t="s">
        <v>142</v>
      </c>
      <c r="M82" s="15">
        <v>90</v>
      </c>
      <c r="N82" s="21">
        <v>358871</v>
      </c>
    </row>
    <row r="83" spans="9:14" x14ac:dyDescent="0.25">
      <c r="I83" s="19">
        <v>45329</v>
      </c>
      <c r="J83" s="15">
        <v>6998</v>
      </c>
      <c r="L83" s="15"/>
    </row>
    <row r="84" spans="9:14" x14ac:dyDescent="0.25">
      <c r="I84" s="19">
        <v>45330</v>
      </c>
      <c r="J84" s="15">
        <v>399</v>
      </c>
      <c r="L84" s="16" t="s">
        <v>141</v>
      </c>
      <c r="M84" t="s">
        <v>145</v>
      </c>
      <c r="N84" t="s">
        <v>140</v>
      </c>
    </row>
    <row r="85" spans="9:14" x14ac:dyDescent="0.25">
      <c r="I85" s="19">
        <v>45331</v>
      </c>
      <c r="J85" s="15">
        <v>2398</v>
      </c>
      <c r="L85" s="17" t="s">
        <v>14</v>
      </c>
      <c r="M85" s="15">
        <v>16</v>
      </c>
      <c r="N85" s="21">
        <v>8094</v>
      </c>
    </row>
    <row r="86" spans="9:14" x14ac:dyDescent="0.25">
      <c r="I86" s="19">
        <v>45332</v>
      </c>
      <c r="J86" s="15">
        <v>899</v>
      </c>
      <c r="L86" s="17" t="s">
        <v>18</v>
      </c>
      <c r="M86" s="15">
        <v>11</v>
      </c>
      <c r="N86" s="21">
        <v>38394</v>
      </c>
    </row>
    <row r="87" spans="9:14" x14ac:dyDescent="0.25">
      <c r="I87" s="19">
        <v>45333</v>
      </c>
      <c r="J87" s="15">
        <v>4999</v>
      </c>
      <c r="L87" s="17" t="s">
        <v>36</v>
      </c>
      <c r="M87" s="15">
        <v>16</v>
      </c>
      <c r="N87" s="21">
        <v>35994</v>
      </c>
    </row>
    <row r="88" spans="9:14" x14ac:dyDescent="0.25">
      <c r="I88" s="19">
        <v>45334</v>
      </c>
      <c r="J88" s="15">
        <v>3998</v>
      </c>
      <c r="L88" s="17" t="s">
        <v>26</v>
      </c>
      <c r="M88" s="15">
        <v>20</v>
      </c>
      <c r="N88" s="21">
        <v>125096</v>
      </c>
    </row>
    <row r="89" spans="9:14" x14ac:dyDescent="0.25">
      <c r="I89" s="19">
        <v>45335</v>
      </c>
      <c r="J89" s="15">
        <v>100000</v>
      </c>
      <c r="L89" s="17" t="s">
        <v>43</v>
      </c>
      <c r="M89" s="15">
        <v>27</v>
      </c>
      <c r="N89" s="21">
        <v>151293</v>
      </c>
    </row>
    <row r="90" spans="9:14" x14ac:dyDescent="0.25">
      <c r="I90" s="19">
        <v>45336</v>
      </c>
      <c r="J90" s="15">
        <v>7999</v>
      </c>
      <c r="L90" s="17" t="s">
        <v>142</v>
      </c>
      <c r="M90" s="15">
        <v>90</v>
      </c>
      <c r="N90" s="21">
        <v>358871</v>
      </c>
    </row>
    <row r="91" spans="9:14" x14ac:dyDescent="0.25">
      <c r="I91" s="19">
        <v>45337</v>
      </c>
      <c r="J91" s="15">
        <v>10999</v>
      </c>
      <c r="L91" s="15"/>
    </row>
    <row r="92" spans="9:14" x14ac:dyDescent="0.25">
      <c r="I92" s="19">
        <v>45338</v>
      </c>
      <c r="J92" s="15">
        <v>2998</v>
      </c>
      <c r="L92" s="15"/>
    </row>
    <row r="93" spans="9:14" x14ac:dyDescent="0.25">
      <c r="I93" s="19">
        <v>45339</v>
      </c>
      <c r="J93" s="15">
        <v>2397</v>
      </c>
      <c r="L93" s="15"/>
    </row>
    <row r="94" spans="9:14" x14ac:dyDescent="0.25">
      <c r="I94" s="19">
        <v>45340</v>
      </c>
      <c r="J94" s="15">
        <v>798</v>
      </c>
      <c r="L94" s="15"/>
    </row>
    <row r="95" spans="9:14" x14ac:dyDescent="0.25">
      <c r="I95" s="19">
        <v>45341</v>
      </c>
      <c r="J95" s="15">
        <v>499</v>
      </c>
      <c r="L95" s="15"/>
      <c r="M95" s="16" t="s">
        <v>141</v>
      </c>
      <c r="N95" t="s">
        <v>140</v>
      </c>
    </row>
    <row r="96" spans="9:14" x14ac:dyDescent="0.25">
      <c r="I96" s="19">
        <v>45342</v>
      </c>
      <c r="J96" s="15">
        <v>999</v>
      </c>
      <c r="L96" s="15"/>
      <c r="M96" s="17" t="s">
        <v>139</v>
      </c>
      <c r="N96" s="15">
        <v>999</v>
      </c>
    </row>
    <row r="97" spans="9:14" x14ac:dyDescent="0.25">
      <c r="I97" s="19" t="s">
        <v>142</v>
      </c>
      <c r="J97" s="15">
        <v>588781</v>
      </c>
      <c r="L97" s="18"/>
      <c r="M97" s="17" t="s">
        <v>71</v>
      </c>
      <c r="N97" s="15">
        <v>349</v>
      </c>
    </row>
    <row r="98" spans="9:14" x14ac:dyDescent="0.25">
      <c r="M98" s="17" t="s">
        <v>133</v>
      </c>
      <c r="N98" s="15">
        <v>798</v>
      </c>
    </row>
    <row r="99" spans="9:14" x14ac:dyDescent="0.25">
      <c r="M99" s="17" t="s">
        <v>136</v>
      </c>
      <c r="N99" s="15">
        <v>499</v>
      </c>
    </row>
    <row r="100" spans="9:14" x14ac:dyDescent="0.25">
      <c r="M100" s="17" t="s">
        <v>89</v>
      </c>
      <c r="N100" s="15">
        <v>899</v>
      </c>
    </row>
    <row r="101" spans="9:14" x14ac:dyDescent="0.25">
      <c r="M101" s="17" t="s">
        <v>142</v>
      </c>
      <c r="N101" s="15">
        <v>3544</v>
      </c>
    </row>
    <row r="103" spans="9:14" x14ac:dyDescent="0.25">
      <c r="I103" s="19">
        <v>45292</v>
      </c>
      <c r="J103" s="15"/>
    </row>
    <row r="104" spans="9:14" x14ac:dyDescent="0.25">
      <c r="I104" s="19">
        <v>45293</v>
      </c>
      <c r="J104" s="15"/>
    </row>
    <row r="105" spans="9:14" x14ac:dyDescent="0.25">
      <c r="I105" s="19">
        <v>45294</v>
      </c>
      <c r="J105" s="15"/>
    </row>
    <row r="106" spans="9:14" x14ac:dyDescent="0.25">
      <c r="I106" s="19">
        <v>45295</v>
      </c>
      <c r="J106" s="15"/>
    </row>
    <row r="107" spans="9:14" x14ac:dyDescent="0.25">
      <c r="I107" s="19">
        <v>45296</v>
      </c>
      <c r="J107" s="15"/>
    </row>
    <row r="108" spans="9:14" x14ac:dyDescent="0.25">
      <c r="I108" s="19">
        <v>45297</v>
      </c>
      <c r="J108" s="15"/>
    </row>
    <row r="109" spans="9:14" x14ac:dyDescent="0.25">
      <c r="I109" s="19">
        <v>45298</v>
      </c>
      <c r="J109" s="15"/>
    </row>
    <row r="110" spans="9:14" x14ac:dyDescent="0.25">
      <c r="I110" s="19">
        <v>45299</v>
      </c>
      <c r="J110" s="15"/>
    </row>
    <row r="111" spans="9:14" x14ac:dyDescent="0.25">
      <c r="I111" s="19">
        <v>45300</v>
      </c>
      <c r="J111" s="15"/>
    </row>
    <row r="112" spans="9:14" x14ac:dyDescent="0.25">
      <c r="I112" s="19">
        <v>45301</v>
      </c>
      <c r="J112" s="15"/>
    </row>
    <row r="113" spans="9:10" x14ac:dyDescent="0.25">
      <c r="I113" s="19">
        <v>45302</v>
      </c>
      <c r="J113" s="15"/>
    </row>
    <row r="114" spans="9:10" x14ac:dyDescent="0.25">
      <c r="I114" s="19">
        <v>45303</v>
      </c>
      <c r="J114" s="15"/>
    </row>
    <row r="115" spans="9:10" x14ac:dyDescent="0.25">
      <c r="I115" s="19">
        <v>45304</v>
      </c>
      <c r="J115" s="15"/>
    </row>
    <row r="116" spans="9:10" x14ac:dyDescent="0.25">
      <c r="I116" s="19">
        <v>45305</v>
      </c>
      <c r="J116" s="15"/>
    </row>
    <row r="117" spans="9:10" x14ac:dyDescent="0.25">
      <c r="I117" s="19">
        <v>45306</v>
      </c>
      <c r="J117" s="15"/>
    </row>
    <row r="118" spans="9:10" x14ac:dyDescent="0.25">
      <c r="I118" s="19">
        <v>45307</v>
      </c>
      <c r="J118" s="15"/>
    </row>
    <row r="119" spans="9:10" x14ac:dyDescent="0.25">
      <c r="I119" s="19">
        <v>45308</v>
      </c>
      <c r="J119" s="15"/>
    </row>
    <row r="120" spans="9:10" x14ac:dyDescent="0.25">
      <c r="I120" s="19">
        <v>45309</v>
      </c>
      <c r="J120" s="15"/>
    </row>
    <row r="121" spans="9:10" x14ac:dyDescent="0.25">
      <c r="I121" s="19">
        <v>45310</v>
      </c>
      <c r="J121" s="15"/>
    </row>
    <row r="122" spans="9:10" x14ac:dyDescent="0.25">
      <c r="I122" s="19">
        <v>45311</v>
      </c>
      <c r="J122" s="15"/>
    </row>
    <row r="123" spans="9:10" x14ac:dyDescent="0.25">
      <c r="I123" s="19">
        <v>45312</v>
      </c>
      <c r="J123" s="15"/>
    </row>
    <row r="124" spans="9:10" x14ac:dyDescent="0.25">
      <c r="I124" s="19">
        <v>45313</v>
      </c>
      <c r="J124" s="15"/>
    </row>
    <row r="125" spans="9:10" x14ac:dyDescent="0.25">
      <c r="I125" s="19">
        <v>45314</v>
      </c>
      <c r="J125" s="15"/>
    </row>
    <row r="126" spans="9:10" x14ac:dyDescent="0.25">
      <c r="I126" s="19">
        <v>45315</v>
      </c>
      <c r="J126" s="15"/>
    </row>
    <row r="127" spans="9:10" x14ac:dyDescent="0.25">
      <c r="I127" s="19">
        <v>45316</v>
      </c>
      <c r="J127" s="15"/>
    </row>
    <row r="128" spans="9:10" x14ac:dyDescent="0.25">
      <c r="I128" s="19">
        <v>45317</v>
      </c>
      <c r="J128" s="15"/>
    </row>
    <row r="129" spans="9:10" x14ac:dyDescent="0.25">
      <c r="I129" s="19">
        <v>45318</v>
      </c>
      <c r="J129" s="15"/>
    </row>
    <row r="130" spans="9:10" x14ac:dyDescent="0.25">
      <c r="I130" s="19">
        <v>45319</v>
      </c>
      <c r="J130" s="15"/>
    </row>
    <row r="131" spans="9:10" x14ac:dyDescent="0.25">
      <c r="I131" s="19">
        <v>45320</v>
      </c>
      <c r="J131" s="15"/>
    </row>
    <row r="132" spans="9:10" x14ac:dyDescent="0.25">
      <c r="I132" s="19">
        <v>45321</v>
      </c>
      <c r="J132" s="15"/>
    </row>
    <row r="133" spans="9:10" x14ac:dyDescent="0.25">
      <c r="I133" s="19">
        <v>45323</v>
      </c>
      <c r="J133" s="15"/>
    </row>
    <row r="134" spans="9:10" x14ac:dyDescent="0.25">
      <c r="I134" s="19">
        <v>45324</v>
      </c>
      <c r="J134" s="15"/>
    </row>
    <row r="135" spans="9:10" x14ac:dyDescent="0.25">
      <c r="I135" s="19">
        <v>45325</v>
      </c>
      <c r="J135" s="15"/>
    </row>
    <row r="136" spans="9:10" x14ac:dyDescent="0.25">
      <c r="I136" s="19">
        <v>45326</v>
      </c>
      <c r="J136" s="15"/>
    </row>
    <row r="137" spans="9:10" x14ac:dyDescent="0.25">
      <c r="I137" s="19">
        <v>45327</v>
      </c>
      <c r="J137" s="15"/>
    </row>
    <row r="138" spans="9:10" x14ac:dyDescent="0.25">
      <c r="I138" s="19">
        <v>45328</v>
      </c>
      <c r="J138" s="15"/>
    </row>
    <row r="139" spans="9:10" x14ac:dyDescent="0.25">
      <c r="I139" s="19">
        <v>45329</v>
      </c>
      <c r="J139" s="15"/>
    </row>
    <row r="140" spans="9:10" x14ac:dyDescent="0.25">
      <c r="I140" s="19">
        <v>45330</v>
      </c>
      <c r="J140" s="15"/>
    </row>
    <row r="141" spans="9:10" x14ac:dyDescent="0.25">
      <c r="I141" s="19">
        <v>45331</v>
      </c>
      <c r="J141" s="15"/>
    </row>
    <row r="142" spans="9:10" x14ac:dyDescent="0.25">
      <c r="I142" s="19">
        <v>45332</v>
      </c>
      <c r="J142" s="15"/>
    </row>
    <row r="143" spans="9:10" x14ac:dyDescent="0.25">
      <c r="I143" s="19">
        <v>45333</v>
      </c>
      <c r="J143" s="15"/>
    </row>
    <row r="144" spans="9:10" x14ac:dyDescent="0.25">
      <c r="I144" s="19">
        <v>45334</v>
      </c>
      <c r="J144" s="15"/>
    </row>
    <row r="145" spans="9:10" x14ac:dyDescent="0.25">
      <c r="I145" s="19">
        <v>45335</v>
      </c>
      <c r="J145" s="15"/>
    </row>
    <row r="146" spans="9:10" x14ac:dyDescent="0.25">
      <c r="I146" s="19">
        <v>45336</v>
      </c>
      <c r="J146" s="15"/>
    </row>
    <row r="147" spans="9:10" x14ac:dyDescent="0.25">
      <c r="I147" s="19">
        <v>45337</v>
      </c>
      <c r="J147" s="15"/>
    </row>
    <row r="148" spans="9:10" x14ac:dyDescent="0.25">
      <c r="I148" s="19">
        <v>45338</v>
      </c>
      <c r="J148" s="15"/>
    </row>
    <row r="149" spans="9:10" x14ac:dyDescent="0.25">
      <c r="I149" s="19">
        <v>45339</v>
      </c>
      <c r="J149" s="15"/>
    </row>
    <row r="150" spans="9:10" x14ac:dyDescent="0.25">
      <c r="I150" s="19">
        <v>45340</v>
      </c>
      <c r="J150" s="15"/>
    </row>
    <row r="151" spans="9:10" x14ac:dyDescent="0.25">
      <c r="I151" s="19">
        <v>45341</v>
      </c>
      <c r="J151" s="15"/>
    </row>
    <row r="152" spans="9:10" x14ac:dyDescent="0.25">
      <c r="I152" s="19">
        <v>45342</v>
      </c>
      <c r="J152" s="15"/>
    </row>
  </sheetData>
  <pageMargins left="0.7" right="0.7" top="0.75" bottom="0.75" header="0.3" footer="0.3"/>
  <pageSetup orientation="portrait" r:id="rId17"/>
  <drawing r:id="rId18"/>
  <extLst>
    <ext xmlns:x14="http://schemas.microsoft.com/office/spreadsheetml/2009/9/main" uri="{A8765BA9-456A-4dab-B4F3-ACF838C121DE}">
      <x14:slicerList>
        <x14:slicer r:id="rId1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topLeftCell="A9" workbookViewId="0">
      <selection activeCell="B38" sqref="B38"/>
    </sheetView>
  </sheetViews>
  <sheetFormatPr defaultRowHeight="15" x14ac:dyDescent="0.25"/>
  <cols>
    <col min="1" max="1" width="13.140625" customWidth="1"/>
    <col min="2" max="2" width="20.5703125" customWidth="1"/>
  </cols>
  <sheetData>
    <row r="1" spans="1:2" x14ac:dyDescent="0.25">
      <c r="A1" s="28" t="s">
        <v>156</v>
      </c>
      <c r="B1" s="28"/>
    </row>
    <row r="3" spans="1:2" x14ac:dyDescent="0.25">
      <c r="A3" s="16" t="s">
        <v>141</v>
      </c>
      <c r="B3" t="s">
        <v>140</v>
      </c>
    </row>
    <row r="4" spans="1:2" x14ac:dyDescent="0.25">
      <c r="A4" s="19">
        <v>45294</v>
      </c>
      <c r="B4" s="15">
        <v>75999</v>
      </c>
    </row>
    <row r="5" spans="1:2" x14ac:dyDescent="0.25">
      <c r="A5" s="19">
        <v>45296</v>
      </c>
      <c r="B5" s="15">
        <v>45999</v>
      </c>
    </row>
    <row r="6" spans="1:2" x14ac:dyDescent="0.25">
      <c r="A6" s="19">
        <v>45300</v>
      </c>
      <c r="B6" s="15">
        <v>32999</v>
      </c>
    </row>
    <row r="7" spans="1:2" x14ac:dyDescent="0.25">
      <c r="A7" s="19">
        <v>45301</v>
      </c>
      <c r="B7" s="15">
        <v>37999</v>
      </c>
    </row>
    <row r="8" spans="1:2" x14ac:dyDescent="0.25">
      <c r="A8" s="19">
        <v>45335</v>
      </c>
      <c r="B8" s="15">
        <v>100000</v>
      </c>
    </row>
    <row r="9" spans="1:2" x14ac:dyDescent="0.25">
      <c r="A9" s="19" t="s">
        <v>142</v>
      </c>
      <c r="B9" s="15">
        <v>292996</v>
      </c>
    </row>
    <row r="11" spans="1:2" x14ac:dyDescent="0.25">
      <c r="A11" s="28" t="s">
        <v>157</v>
      </c>
      <c r="B11" s="28" t="s">
        <v>158</v>
      </c>
    </row>
    <row r="12" spans="1:2" x14ac:dyDescent="0.25">
      <c r="A12" s="16" t="s">
        <v>141</v>
      </c>
      <c r="B12" t="s">
        <v>140</v>
      </c>
    </row>
    <row r="13" spans="1:2" x14ac:dyDescent="0.25">
      <c r="A13" s="17">
        <v>2</v>
      </c>
      <c r="B13" s="15">
        <v>31998</v>
      </c>
    </row>
    <row r="14" spans="1:2" x14ac:dyDescent="0.25">
      <c r="A14" s="17">
        <v>3</v>
      </c>
      <c r="B14" s="15">
        <v>75999</v>
      </c>
    </row>
    <row r="15" spans="1:2" x14ac:dyDescent="0.25">
      <c r="A15" s="17">
        <v>5</v>
      </c>
      <c r="B15" s="15">
        <v>45999</v>
      </c>
    </row>
    <row r="16" spans="1:2" x14ac:dyDescent="0.25">
      <c r="A16" s="17">
        <v>8</v>
      </c>
      <c r="B16" s="15">
        <v>28999</v>
      </c>
    </row>
    <row r="17" spans="1:2" x14ac:dyDescent="0.25">
      <c r="A17" s="17">
        <v>9</v>
      </c>
      <c r="B17" s="15">
        <v>32999</v>
      </c>
    </row>
    <row r="18" spans="1:2" x14ac:dyDescent="0.25">
      <c r="A18" s="17">
        <v>10</v>
      </c>
      <c r="B18" s="15">
        <v>37999</v>
      </c>
    </row>
    <row r="19" spans="1:2" x14ac:dyDescent="0.25">
      <c r="A19" s="17">
        <v>21</v>
      </c>
      <c r="B19" s="15">
        <v>30000</v>
      </c>
    </row>
    <row r="20" spans="1:2" x14ac:dyDescent="0.25">
      <c r="A20" s="17">
        <v>25</v>
      </c>
      <c r="B20" s="15">
        <v>25999</v>
      </c>
    </row>
    <row r="21" spans="1:2" x14ac:dyDescent="0.25">
      <c r="A21" s="17">
        <v>34</v>
      </c>
      <c r="B21" s="15">
        <v>25098</v>
      </c>
    </row>
    <row r="22" spans="1:2" x14ac:dyDescent="0.25">
      <c r="A22" s="17">
        <v>43</v>
      </c>
      <c r="B22" s="15">
        <v>100000</v>
      </c>
    </row>
    <row r="23" spans="1:2" x14ac:dyDescent="0.25">
      <c r="A23" s="17" t="s">
        <v>142</v>
      </c>
      <c r="B23" s="15">
        <v>435090</v>
      </c>
    </row>
    <row r="25" spans="1:2" x14ac:dyDescent="0.25">
      <c r="A25" s="28" t="s">
        <v>160</v>
      </c>
      <c r="B25" s="28" t="s">
        <v>159</v>
      </c>
    </row>
    <row r="26" spans="1:2" x14ac:dyDescent="0.25">
      <c r="A26" s="16" t="s">
        <v>141</v>
      </c>
      <c r="B26" t="s">
        <v>140</v>
      </c>
    </row>
    <row r="27" spans="1:2" x14ac:dyDescent="0.25">
      <c r="A27" s="17" t="s">
        <v>25</v>
      </c>
      <c r="B27" s="15">
        <v>45999</v>
      </c>
    </row>
    <row r="28" spans="1:2" x14ac:dyDescent="0.25">
      <c r="A28" s="17" t="s">
        <v>20</v>
      </c>
      <c r="B28" s="15">
        <v>75999</v>
      </c>
    </row>
    <row r="29" spans="1:2" x14ac:dyDescent="0.25">
      <c r="A29" s="17" t="s">
        <v>119</v>
      </c>
      <c r="B29" s="15">
        <v>100000</v>
      </c>
    </row>
    <row r="30" spans="1:2" x14ac:dyDescent="0.25">
      <c r="A30" s="17" t="s">
        <v>39</v>
      </c>
      <c r="B30" s="15">
        <v>32999</v>
      </c>
    </row>
    <row r="31" spans="1:2" x14ac:dyDescent="0.25">
      <c r="A31" s="17" t="s">
        <v>42</v>
      </c>
      <c r="B31" s="15">
        <v>37999</v>
      </c>
    </row>
    <row r="32" spans="1:2" x14ac:dyDescent="0.25">
      <c r="A32" s="17" t="s">
        <v>73</v>
      </c>
      <c r="B32" s="15">
        <v>30000</v>
      </c>
    </row>
    <row r="33" spans="1:2" x14ac:dyDescent="0.25">
      <c r="A33" s="17" t="s">
        <v>17</v>
      </c>
      <c r="B33" s="15">
        <v>31998</v>
      </c>
    </row>
    <row r="34" spans="1:2" x14ac:dyDescent="0.25">
      <c r="A34" s="17" t="s">
        <v>142</v>
      </c>
      <c r="B34" s="15">
        <v>354994</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2"/>
  <sheetViews>
    <sheetView workbookViewId="0">
      <selection activeCell="Q3" sqref="Q3"/>
    </sheetView>
  </sheetViews>
  <sheetFormatPr defaultRowHeight="15" x14ac:dyDescent="0.25"/>
  <cols>
    <col min="1" max="1" width="8.85546875" bestFit="1" customWidth="1"/>
    <col min="2" max="2" width="11.140625" bestFit="1" customWidth="1"/>
    <col min="3" max="3" width="12.28515625" bestFit="1" customWidth="1"/>
    <col min="4" max="5" width="12.28515625" customWidth="1"/>
    <col min="6" max="6" width="13.85546875" bestFit="1" customWidth="1"/>
    <col min="7" max="7" width="15.7109375" customWidth="1"/>
    <col min="8" max="8" width="10.5703125" bestFit="1" customWidth="1"/>
    <col min="9" max="9" width="8.7109375" bestFit="1" customWidth="1"/>
    <col min="10" max="10" width="10" bestFit="1" customWidth="1"/>
    <col min="11" max="11" width="14.85546875" bestFit="1" customWidth="1"/>
    <col min="12" max="12" width="12.5703125" bestFit="1" customWidth="1"/>
    <col min="13" max="13" width="13" bestFit="1" customWidth="1"/>
    <col min="14" max="14" width="20" bestFit="1" customWidth="1"/>
    <col min="15" max="15" width="14.28515625" bestFit="1" customWidth="1"/>
    <col min="17" max="17" width="23" customWidth="1"/>
    <col min="18" max="18" width="15.42578125" customWidth="1"/>
    <col min="20" max="20" width="18.7109375" customWidth="1"/>
    <col min="21" max="21" width="18.5703125" customWidth="1"/>
  </cols>
  <sheetData>
    <row r="1" spans="1:21" ht="15.75" thickBot="1" x14ac:dyDescent="0.3">
      <c r="A1" s="1" t="s">
        <v>1</v>
      </c>
      <c r="B1" s="1" t="s">
        <v>2</v>
      </c>
      <c r="C1" s="1" t="s">
        <v>1</v>
      </c>
      <c r="D1" s="1" t="s">
        <v>2</v>
      </c>
      <c r="E1" s="1" t="s">
        <v>3</v>
      </c>
      <c r="F1" s="1" t="s">
        <v>4</v>
      </c>
      <c r="G1" s="1" t="s">
        <v>5</v>
      </c>
      <c r="H1" s="1" t="s">
        <v>6</v>
      </c>
      <c r="I1" s="1" t="s">
        <v>7</v>
      </c>
      <c r="J1" s="1" t="s">
        <v>8</v>
      </c>
      <c r="K1" s="2" t="s">
        <v>0</v>
      </c>
      <c r="L1" s="2" t="s">
        <v>9</v>
      </c>
      <c r="M1" s="2" t="s">
        <v>10</v>
      </c>
      <c r="N1" s="2" t="s">
        <v>11</v>
      </c>
      <c r="O1" s="2" t="s">
        <v>12</v>
      </c>
      <c r="Q1" s="1"/>
      <c r="R1" s="23"/>
      <c r="T1" s="1"/>
      <c r="U1" s="2"/>
    </row>
    <row r="2" spans="1:21" ht="16.5" thickBot="1" x14ac:dyDescent="0.3">
      <c r="A2" s="3">
        <v>101</v>
      </c>
      <c r="B2" s="4">
        <v>45292</v>
      </c>
      <c r="C2" s="3">
        <v>101</v>
      </c>
      <c r="D2" s="4">
        <v>45292</v>
      </c>
      <c r="E2" s="3">
        <v>1</v>
      </c>
      <c r="F2" s="3" t="s">
        <v>13</v>
      </c>
      <c r="G2" s="3" t="s">
        <v>14</v>
      </c>
      <c r="H2" s="3">
        <v>1</v>
      </c>
      <c r="I2" s="3">
        <v>1</v>
      </c>
      <c r="J2" s="3">
        <v>4999</v>
      </c>
      <c r="K2" s="5">
        <v>4999</v>
      </c>
      <c r="L2" s="5">
        <v>6</v>
      </c>
      <c r="M2" s="5">
        <v>4</v>
      </c>
      <c r="N2" s="5" t="s">
        <v>15</v>
      </c>
      <c r="O2" s="5" t="s">
        <v>16</v>
      </c>
      <c r="Q2" s="26" t="s">
        <v>0</v>
      </c>
      <c r="R2" s="23"/>
      <c r="T2" s="3"/>
      <c r="U2" s="5"/>
    </row>
    <row r="3" spans="1:21" ht="15.75" thickBot="1" x14ac:dyDescent="0.3">
      <c r="A3" s="3">
        <v>102</v>
      </c>
      <c r="B3" s="4">
        <v>45293</v>
      </c>
      <c r="C3" s="3">
        <v>102</v>
      </c>
      <c r="D3" s="4">
        <v>45293</v>
      </c>
      <c r="E3" s="3">
        <v>2</v>
      </c>
      <c r="F3" s="3" t="s">
        <v>17</v>
      </c>
      <c r="G3" s="3" t="s">
        <v>18</v>
      </c>
      <c r="H3" s="3">
        <v>2</v>
      </c>
      <c r="I3" s="3">
        <v>2</v>
      </c>
      <c r="J3" s="3">
        <v>15999</v>
      </c>
      <c r="K3" s="5">
        <v>31998</v>
      </c>
      <c r="L3" s="5">
        <v>6</v>
      </c>
      <c r="M3" s="5">
        <v>3</v>
      </c>
      <c r="N3" s="5">
        <v>10666</v>
      </c>
      <c r="O3" s="5" t="s">
        <v>19</v>
      </c>
      <c r="Q3" s="25">
        <f>SUM(K2:K51)</f>
        <v>588781</v>
      </c>
      <c r="R3" s="23"/>
      <c r="T3" s="3"/>
      <c r="U3" s="5"/>
    </row>
    <row r="4" spans="1:21" ht="15.75" thickBot="1" x14ac:dyDescent="0.3">
      <c r="A4" s="3">
        <v>103</v>
      </c>
      <c r="B4" s="4">
        <v>45294</v>
      </c>
      <c r="C4" s="3">
        <v>103</v>
      </c>
      <c r="D4" s="4">
        <v>45294</v>
      </c>
      <c r="E4" s="3">
        <v>3</v>
      </c>
      <c r="F4" s="3" t="s">
        <v>20</v>
      </c>
      <c r="G4" s="3" t="s">
        <v>20</v>
      </c>
      <c r="H4" s="3">
        <v>3</v>
      </c>
      <c r="I4" s="3">
        <v>1</v>
      </c>
      <c r="J4" s="3">
        <v>75999</v>
      </c>
      <c r="K4" s="5">
        <v>75999</v>
      </c>
      <c r="L4" s="5">
        <v>1</v>
      </c>
      <c r="M4" s="5">
        <v>1</v>
      </c>
      <c r="N4" s="5">
        <v>75999</v>
      </c>
      <c r="O4" s="5" t="s">
        <v>21</v>
      </c>
      <c r="Q4" s="4"/>
      <c r="R4" s="23"/>
      <c r="T4" s="3"/>
      <c r="U4" s="5"/>
    </row>
    <row r="5" spans="1:21" ht="16.5" thickBot="1" x14ac:dyDescent="0.3">
      <c r="A5" s="3">
        <v>104</v>
      </c>
      <c r="B5" s="4">
        <v>45295</v>
      </c>
      <c r="C5" s="3">
        <v>104</v>
      </c>
      <c r="D5" s="4">
        <v>45295</v>
      </c>
      <c r="E5" s="3">
        <v>4</v>
      </c>
      <c r="F5" s="3" t="s">
        <v>22</v>
      </c>
      <c r="G5" s="3" t="s">
        <v>23</v>
      </c>
      <c r="H5" s="3">
        <v>4</v>
      </c>
      <c r="I5" s="3">
        <v>1</v>
      </c>
      <c r="J5" s="3">
        <v>18999</v>
      </c>
      <c r="K5" s="5">
        <v>18999</v>
      </c>
      <c r="L5" s="5">
        <v>1</v>
      </c>
      <c r="M5" s="5">
        <v>1</v>
      </c>
      <c r="N5" s="5">
        <v>18999</v>
      </c>
      <c r="O5" s="5" t="s">
        <v>24</v>
      </c>
      <c r="Q5" s="26" t="s">
        <v>155</v>
      </c>
      <c r="R5" s="23"/>
      <c r="T5" s="3"/>
      <c r="U5" s="5"/>
    </row>
    <row r="6" spans="1:21" ht="15.75" thickBot="1" x14ac:dyDescent="0.3">
      <c r="A6" s="3">
        <v>105</v>
      </c>
      <c r="B6" s="4">
        <v>45296</v>
      </c>
      <c r="C6" s="3">
        <v>105</v>
      </c>
      <c r="D6" s="4">
        <v>45296</v>
      </c>
      <c r="E6" s="3">
        <v>5</v>
      </c>
      <c r="F6" s="3" t="s">
        <v>25</v>
      </c>
      <c r="G6" s="3" t="s">
        <v>26</v>
      </c>
      <c r="H6" s="3">
        <v>5</v>
      </c>
      <c r="I6" s="3">
        <v>1</v>
      </c>
      <c r="J6" s="3">
        <v>45999</v>
      </c>
      <c r="K6" s="5">
        <v>45999</v>
      </c>
      <c r="L6" s="5">
        <v>6</v>
      </c>
      <c r="M6" s="5">
        <v>5</v>
      </c>
      <c r="N6" s="5" t="s">
        <v>27</v>
      </c>
      <c r="O6" s="5" t="s">
        <v>28</v>
      </c>
      <c r="Q6" s="24">
        <f>SUM(M2:M51)</f>
        <v>98</v>
      </c>
      <c r="R6" s="23"/>
      <c r="T6" s="3"/>
      <c r="U6" s="5"/>
    </row>
    <row r="7" spans="1:21" ht="15.75" thickBot="1" x14ac:dyDescent="0.3">
      <c r="A7" s="3">
        <v>106</v>
      </c>
      <c r="B7" s="4">
        <v>45297</v>
      </c>
      <c r="C7" s="3">
        <v>106</v>
      </c>
      <c r="D7" s="4">
        <v>45297</v>
      </c>
      <c r="E7" s="3">
        <v>6</v>
      </c>
      <c r="F7" s="3" t="s">
        <v>29</v>
      </c>
      <c r="G7" s="3" t="s">
        <v>18</v>
      </c>
      <c r="H7" s="3">
        <v>6</v>
      </c>
      <c r="I7" s="3">
        <v>3</v>
      </c>
      <c r="J7" s="3">
        <v>1299</v>
      </c>
      <c r="K7" s="5">
        <v>3897</v>
      </c>
      <c r="L7" s="5">
        <v>4</v>
      </c>
      <c r="M7" s="5">
        <v>2</v>
      </c>
      <c r="N7" s="5" t="s">
        <v>30</v>
      </c>
      <c r="O7" s="5" t="s">
        <v>31</v>
      </c>
      <c r="Q7" s="24"/>
      <c r="R7" s="23"/>
      <c r="T7" s="3"/>
      <c r="U7" s="5"/>
    </row>
    <row r="8" spans="1:21" ht="16.5" thickBot="1" x14ac:dyDescent="0.3">
      <c r="A8" s="3">
        <v>107</v>
      </c>
      <c r="B8" s="4">
        <v>45298</v>
      </c>
      <c r="C8" s="3">
        <v>107</v>
      </c>
      <c r="D8" s="4">
        <v>45298</v>
      </c>
      <c r="E8" s="3">
        <v>7</v>
      </c>
      <c r="F8" s="3" t="s">
        <v>32</v>
      </c>
      <c r="G8" s="3" t="s">
        <v>33</v>
      </c>
      <c r="H8" s="3">
        <v>7</v>
      </c>
      <c r="I8" s="3">
        <v>2</v>
      </c>
      <c r="J8" s="3">
        <v>3499</v>
      </c>
      <c r="K8" s="5">
        <v>6998</v>
      </c>
      <c r="L8" s="5">
        <v>3</v>
      </c>
      <c r="M8" s="5">
        <v>2</v>
      </c>
      <c r="N8" s="5">
        <v>3499</v>
      </c>
      <c r="O8" s="5" t="s">
        <v>34</v>
      </c>
      <c r="Q8" s="26" t="s">
        <v>9</v>
      </c>
      <c r="R8" s="23"/>
      <c r="T8" s="3"/>
      <c r="U8" s="5"/>
    </row>
    <row r="9" spans="1:21" ht="15.75" thickBot="1" x14ac:dyDescent="0.3">
      <c r="A9" s="3">
        <v>108</v>
      </c>
      <c r="B9" s="4">
        <v>45299</v>
      </c>
      <c r="C9" s="3">
        <v>108</v>
      </c>
      <c r="D9" s="4">
        <v>45299</v>
      </c>
      <c r="E9" s="3">
        <v>8</v>
      </c>
      <c r="F9" s="3" t="s">
        <v>35</v>
      </c>
      <c r="G9" s="3" t="s">
        <v>36</v>
      </c>
      <c r="H9" s="3">
        <v>8</v>
      </c>
      <c r="I9" s="3">
        <v>1</v>
      </c>
      <c r="J9" s="3">
        <v>28999</v>
      </c>
      <c r="K9" s="5">
        <v>28999</v>
      </c>
      <c r="L9" s="5">
        <v>6</v>
      </c>
      <c r="M9" s="5">
        <v>4</v>
      </c>
      <c r="N9" s="5" t="s">
        <v>37</v>
      </c>
      <c r="O9" s="5" t="s">
        <v>38</v>
      </c>
      <c r="Q9" s="24">
        <f>SUM(L2:L51)</f>
        <v>140</v>
      </c>
      <c r="R9" s="23"/>
      <c r="T9" s="3"/>
      <c r="U9" s="5"/>
    </row>
    <row r="10" spans="1:21" ht="15.75" thickBot="1" x14ac:dyDescent="0.3">
      <c r="A10" s="3">
        <v>109</v>
      </c>
      <c r="B10" s="4">
        <v>45300</v>
      </c>
      <c r="C10" s="3">
        <v>109</v>
      </c>
      <c r="D10" s="4">
        <v>45300</v>
      </c>
      <c r="E10" s="3">
        <v>9</v>
      </c>
      <c r="F10" s="3" t="s">
        <v>39</v>
      </c>
      <c r="G10" s="3" t="s">
        <v>40</v>
      </c>
      <c r="H10" s="3">
        <v>9</v>
      </c>
      <c r="I10" s="3">
        <v>1</v>
      </c>
      <c r="J10" s="3">
        <v>32999</v>
      </c>
      <c r="K10" s="5">
        <v>32999</v>
      </c>
      <c r="L10" s="5">
        <v>1</v>
      </c>
      <c r="M10" s="5">
        <v>1</v>
      </c>
      <c r="N10" s="5">
        <v>32999</v>
      </c>
      <c r="O10" s="5" t="s">
        <v>41</v>
      </c>
      <c r="Q10" s="24"/>
      <c r="R10" s="23"/>
      <c r="T10" s="3"/>
      <c r="U10" s="5"/>
    </row>
    <row r="11" spans="1:21" ht="15.75" thickBot="1" x14ac:dyDescent="0.3">
      <c r="A11" s="3">
        <v>110</v>
      </c>
      <c r="B11" s="4">
        <v>45301</v>
      </c>
      <c r="C11" s="3">
        <v>110</v>
      </c>
      <c r="D11" s="4">
        <v>45301</v>
      </c>
      <c r="E11" s="3">
        <v>10</v>
      </c>
      <c r="F11" s="3" t="s">
        <v>42</v>
      </c>
      <c r="G11" s="3" t="s">
        <v>43</v>
      </c>
      <c r="H11" s="3">
        <v>10</v>
      </c>
      <c r="I11" s="3">
        <v>1</v>
      </c>
      <c r="J11" s="3">
        <v>37999</v>
      </c>
      <c r="K11" s="5">
        <v>37999</v>
      </c>
      <c r="L11" s="5">
        <v>8</v>
      </c>
      <c r="M11" s="5">
        <v>6</v>
      </c>
      <c r="N11" s="5" t="s">
        <v>44</v>
      </c>
      <c r="O11" s="5" t="s">
        <v>45</v>
      </c>
      <c r="Q11" s="25"/>
      <c r="R11" s="23"/>
      <c r="T11" s="3"/>
      <c r="U11" s="5"/>
    </row>
    <row r="12" spans="1:21" ht="15.75" thickBot="1" x14ac:dyDescent="0.3">
      <c r="A12" s="3">
        <v>111</v>
      </c>
      <c r="B12" s="4">
        <v>45302</v>
      </c>
      <c r="C12" s="3">
        <v>111</v>
      </c>
      <c r="D12" s="4">
        <v>45302</v>
      </c>
      <c r="E12" s="3">
        <v>11</v>
      </c>
      <c r="F12" s="3" t="s">
        <v>46</v>
      </c>
      <c r="G12" s="3" t="s">
        <v>47</v>
      </c>
      <c r="H12" s="3">
        <v>11</v>
      </c>
      <c r="I12" s="3">
        <v>2</v>
      </c>
      <c r="J12" s="3">
        <v>799</v>
      </c>
      <c r="K12" s="5">
        <v>1598</v>
      </c>
      <c r="L12" s="5">
        <v>4</v>
      </c>
      <c r="M12" s="5">
        <v>3</v>
      </c>
      <c r="N12" s="5" t="s">
        <v>48</v>
      </c>
      <c r="O12" s="5" t="s">
        <v>49</v>
      </c>
      <c r="Q12" s="27" t="s">
        <v>11</v>
      </c>
      <c r="R12" s="23"/>
      <c r="T12" s="3"/>
      <c r="U12" s="5"/>
    </row>
    <row r="13" spans="1:21" ht="15.75" thickBot="1" x14ac:dyDescent="0.3">
      <c r="A13" s="3">
        <v>112</v>
      </c>
      <c r="B13" s="4">
        <v>45303</v>
      </c>
      <c r="C13" s="3">
        <v>112</v>
      </c>
      <c r="D13" s="4">
        <v>45303</v>
      </c>
      <c r="E13" s="3">
        <v>12</v>
      </c>
      <c r="F13" s="3" t="s">
        <v>50</v>
      </c>
      <c r="G13" s="3" t="s">
        <v>51</v>
      </c>
      <c r="H13" s="3">
        <v>12</v>
      </c>
      <c r="I13" s="3">
        <v>1</v>
      </c>
      <c r="J13" s="3">
        <v>1499</v>
      </c>
      <c r="K13" s="5">
        <v>1499</v>
      </c>
      <c r="L13" s="5">
        <v>1</v>
      </c>
      <c r="M13" s="5">
        <v>1</v>
      </c>
      <c r="N13" s="5">
        <v>1499</v>
      </c>
      <c r="O13" s="5" t="s">
        <v>52</v>
      </c>
      <c r="Q13" s="25">
        <f>SUM(N4:N53)</f>
        <v>226142</v>
      </c>
      <c r="R13" s="23"/>
      <c r="T13" s="3"/>
      <c r="U13" s="5"/>
    </row>
    <row r="14" spans="1:21" ht="15.75" thickBot="1" x14ac:dyDescent="0.3">
      <c r="A14" s="3">
        <v>113</v>
      </c>
      <c r="B14" s="4">
        <v>45304</v>
      </c>
      <c r="C14" s="3">
        <v>113</v>
      </c>
      <c r="D14" s="4">
        <v>45304</v>
      </c>
      <c r="E14" s="3">
        <v>13</v>
      </c>
      <c r="F14" s="3" t="s">
        <v>53</v>
      </c>
      <c r="G14" s="3" t="s">
        <v>53</v>
      </c>
      <c r="H14" s="3">
        <v>13</v>
      </c>
      <c r="I14" s="3">
        <v>2</v>
      </c>
      <c r="J14" s="3">
        <v>999</v>
      </c>
      <c r="K14" s="5">
        <v>1998</v>
      </c>
      <c r="L14" s="5">
        <v>2</v>
      </c>
      <c r="M14" s="5">
        <v>1</v>
      </c>
      <c r="N14" s="5">
        <v>1998</v>
      </c>
      <c r="O14" s="5" t="s">
        <v>54</v>
      </c>
      <c r="Q14" s="4"/>
      <c r="R14" s="23"/>
      <c r="T14" s="3"/>
      <c r="U14" s="5"/>
    </row>
    <row r="15" spans="1:21" ht="15.75" thickBot="1" x14ac:dyDescent="0.3">
      <c r="A15" s="3">
        <v>114</v>
      </c>
      <c r="B15" s="4">
        <v>45305</v>
      </c>
      <c r="C15" s="3">
        <v>114</v>
      </c>
      <c r="D15" s="4">
        <v>45305</v>
      </c>
      <c r="E15" s="3">
        <v>14</v>
      </c>
      <c r="F15" s="3" t="s">
        <v>55</v>
      </c>
      <c r="G15" s="3" t="s">
        <v>18</v>
      </c>
      <c r="H15" s="3">
        <v>14</v>
      </c>
      <c r="I15" s="3">
        <v>1</v>
      </c>
      <c r="J15" s="3">
        <v>2499</v>
      </c>
      <c r="K15" s="5">
        <v>2499</v>
      </c>
      <c r="L15" s="5">
        <v>1</v>
      </c>
      <c r="M15" s="5">
        <v>1</v>
      </c>
      <c r="N15" s="5">
        <v>2499</v>
      </c>
      <c r="O15" s="5" t="s">
        <v>56</v>
      </c>
      <c r="Q15" s="4"/>
      <c r="R15" s="23"/>
      <c r="T15" s="3"/>
      <c r="U15" s="5"/>
    </row>
    <row r="16" spans="1:21" ht="15.75" thickBot="1" x14ac:dyDescent="0.3">
      <c r="A16" s="3">
        <v>115</v>
      </c>
      <c r="B16" s="4">
        <v>45306</v>
      </c>
      <c r="C16" s="3">
        <v>115</v>
      </c>
      <c r="D16" s="4">
        <v>45306</v>
      </c>
      <c r="E16" s="3">
        <v>15</v>
      </c>
      <c r="F16" s="3" t="s">
        <v>57</v>
      </c>
      <c r="G16" s="3" t="s">
        <v>47</v>
      </c>
      <c r="H16" s="3">
        <v>15</v>
      </c>
      <c r="I16" s="3">
        <v>1</v>
      </c>
      <c r="J16" s="3">
        <v>3299</v>
      </c>
      <c r="K16" s="5">
        <v>3299</v>
      </c>
      <c r="L16" s="5">
        <v>2</v>
      </c>
      <c r="M16" s="5">
        <v>2</v>
      </c>
      <c r="N16" s="5" t="s">
        <v>58</v>
      </c>
      <c r="O16" s="5" t="s">
        <v>59</v>
      </c>
      <c r="Q16" s="4"/>
      <c r="R16" s="23"/>
      <c r="T16" s="3"/>
      <c r="U16" s="5"/>
    </row>
    <row r="17" spans="1:21" ht="15.75" thickBot="1" x14ac:dyDescent="0.3">
      <c r="A17" s="3">
        <v>116</v>
      </c>
      <c r="B17" s="4">
        <v>45307</v>
      </c>
      <c r="C17" s="3">
        <v>116</v>
      </c>
      <c r="D17" s="4">
        <v>45307</v>
      </c>
      <c r="E17" s="3">
        <v>16</v>
      </c>
      <c r="F17" s="3" t="s">
        <v>60</v>
      </c>
      <c r="G17" s="3" t="s">
        <v>33</v>
      </c>
      <c r="H17" s="3">
        <v>16</v>
      </c>
      <c r="I17" s="3">
        <v>1</v>
      </c>
      <c r="J17" s="3">
        <v>2799</v>
      </c>
      <c r="K17" s="5">
        <v>2799</v>
      </c>
      <c r="L17" s="5">
        <v>1</v>
      </c>
      <c r="M17" s="5">
        <v>1</v>
      </c>
      <c r="N17" s="5">
        <v>2799</v>
      </c>
      <c r="O17" s="5" t="s">
        <v>61</v>
      </c>
      <c r="Q17" s="4"/>
      <c r="R17" s="23"/>
      <c r="T17" s="3"/>
      <c r="U17" s="5"/>
    </row>
    <row r="18" spans="1:21" ht="30.75" thickBot="1" x14ac:dyDescent="0.3">
      <c r="A18" s="3">
        <v>117</v>
      </c>
      <c r="B18" s="4">
        <v>45308</v>
      </c>
      <c r="C18" s="3">
        <v>117</v>
      </c>
      <c r="D18" s="4">
        <v>45308</v>
      </c>
      <c r="E18" s="3">
        <v>17</v>
      </c>
      <c r="F18" s="3" t="s">
        <v>62</v>
      </c>
      <c r="G18" s="3" t="s">
        <v>63</v>
      </c>
      <c r="H18" s="3">
        <v>17</v>
      </c>
      <c r="I18" s="3">
        <v>2</v>
      </c>
      <c r="J18" s="3">
        <v>2199</v>
      </c>
      <c r="K18" s="5">
        <v>4398</v>
      </c>
      <c r="L18" s="5">
        <v>4</v>
      </c>
      <c r="M18" s="5">
        <v>2</v>
      </c>
      <c r="N18" s="5">
        <v>2199</v>
      </c>
      <c r="O18" s="5" t="s">
        <v>64</v>
      </c>
      <c r="Q18" s="4"/>
      <c r="R18" s="23"/>
      <c r="T18" s="3"/>
      <c r="U18" s="5"/>
    </row>
    <row r="19" spans="1:21" ht="15.75" thickBot="1" x14ac:dyDescent="0.3">
      <c r="A19" s="3">
        <v>118</v>
      </c>
      <c r="B19" s="4">
        <v>45309</v>
      </c>
      <c r="C19" s="3">
        <v>118</v>
      </c>
      <c r="D19" s="4">
        <v>45309</v>
      </c>
      <c r="E19" s="3">
        <v>18</v>
      </c>
      <c r="F19" s="3" t="s">
        <v>65</v>
      </c>
      <c r="G19" s="3" t="s">
        <v>26</v>
      </c>
      <c r="H19" s="3">
        <v>18</v>
      </c>
      <c r="I19" s="3">
        <v>1</v>
      </c>
      <c r="J19" s="3">
        <v>1999</v>
      </c>
      <c r="K19" s="5">
        <v>20000</v>
      </c>
      <c r="L19" s="5">
        <v>5</v>
      </c>
      <c r="M19" s="5">
        <v>4</v>
      </c>
      <c r="N19" s="5" t="s">
        <v>66</v>
      </c>
      <c r="O19" s="5" t="s">
        <v>54</v>
      </c>
      <c r="Q19" s="4"/>
      <c r="R19" s="23"/>
      <c r="T19" s="3"/>
      <c r="U19" s="5"/>
    </row>
    <row r="20" spans="1:21" ht="15.75" thickBot="1" x14ac:dyDescent="0.3">
      <c r="A20" s="3">
        <v>119</v>
      </c>
      <c r="B20" s="4">
        <v>45310</v>
      </c>
      <c r="C20" s="3">
        <v>119</v>
      </c>
      <c r="D20" s="4">
        <v>45310</v>
      </c>
      <c r="E20" s="3">
        <v>19</v>
      </c>
      <c r="F20" s="3" t="s">
        <v>67</v>
      </c>
      <c r="G20" s="3" t="s">
        <v>14</v>
      </c>
      <c r="H20" s="3">
        <v>19</v>
      </c>
      <c r="I20" s="3">
        <v>2</v>
      </c>
      <c r="J20" s="3">
        <v>599</v>
      </c>
      <c r="K20" s="5">
        <v>1198</v>
      </c>
      <c r="L20" s="5">
        <v>5</v>
      </c>
      <c r="M20" s="5">
        <v>3</v>
      </c>
      <c r="N20" s="5" t="s">
        <v>68</v>
      </c>
      <c r="O20" s="5" t="s">
        <v>69</v>
      </c>
      <c r="Q20" s="4"/>
      <c r="R20" s="23"/>
      <c r="T20" s="3"/>
      <c r="U20" s="5"/>
    </row>
    <row r="21" spans="1:21" ht="30.75" thickBot="1" x14ac:dyDescent="0.3">
      <c r="A21" s="3">
        <v>120</v>
      </c>
      <c r="B21" s="4">
        <v>45311</v>
      </c>
      <c r="C21" s="3">
        <v>120</v>
      </c>
      <c r="D21" s="4">
        <v>45311</v>
      </c>
      <c r="E21" s="3">
        <v>20</v>
      </c>
      <c r="F21" s="3" t="s">
        <v>70</v>
      </c>
      <c r="G21" s="3" t="s">
        <v>71</v>
      </c>
      <c r="H21" s="3">
        <v>20</v>
      </c>
      <c r="I21" s="3">
        <v>1</v>
      </c>
      <c r="J21" s="3">
        <v>349</v>
      </c>
      <c r="K21" s="5">
        <v>349</v>
      </c>
      <c r="L21" s="5">
        <v>1</v>
      </c>
      <c r="M21" s="5">
        <v>1</v>
      </c>
      <c r="N21" s="5">
        <v>349</v>
      </c>
      <c r="O21" s="5" t="s">
        <v>72</v>
      </c>
      <c r="Q21" s="4"/>
      <c r="R21" s="23"/>
      <c r="T21" s="3"/>
      <c r="U21" s="5"/>
    </row>
    <row r="22" spans="1:21" ht="15.75" thickBot="1" x14ac:dyDescent="0.3">
      <c r="A22" s="3">
        <v>121</v>
      </c>
      <c r="B22" s="4">
        <v>45312</v>
      </c>
      <c r="C22" s="3">
        <v>121</v>
      </c>
      <c r="D22" s="4">
        <v>45312</v>
      </c>
      <c r="E22" s="3">
        <v>21</v>
      </c>
      <c r="F22" s="3" t="s">
        <v>73</v>
      </c>
      <c r="G22" s="3" t="s">
        <v>26</v>
      </c>
      <c r="H22" s="3">
        <v>21</v>
      </c>
      <c r="I22" s="3">
        <v>1</v>
      </c>
      <c r="J22" s="3">
        <v>899</v>
      </c>
      <c r="K22" s="5">
        <v>30000</v>
      </c>
      <c r="L22" s="5">
        <v>4</v>
      </c>
      <c r="M22" s="5">
        <v>3</v>
      </c>
      <c r="N22" s="5" t="s">
        <v>74</v>
      </c>
      <c r="O22" s="5" t="s">
        <v>75</v>
      </c>
      <c r="Q22" s="4"/>
      <c r="R22" s="23"/>
      <c r="T22" s="3"/>
      <c r="U22" s="5"/>
    </row>
    <row r="23" spans="1:21" ht="15.75" thickBot="1" x14ac:dyDescent="0.3">
      <c r="A23" s="3">
        <v>122</v>
      </c>
      <c r="B23" s="4">
        <v>45313</v>
      </c>
      <c r="C23" s="3">
        <v>122</v>
      </c>
      <c r="D23" s="4">
        <v>45313</v>
      </c>
      <c r="E23" s="3">
        <v>22</v>
      </c>
      <c r="F23" s="3" t="s">
        <v>76</v>
      </c>
      <c r="G23" s="3" t="s">
        <v>63</v>
      </c>
      <c r="H23" s="3">
        <v>22</v>
      </c>
      <c r="I23" s="3">
        <v>2</v>
      </c>
      <c r="J23" s="3">
        <v>699</v>
      </c>
      <c r="K23" s="5">
        <v>1398</v>
      </c>
      <c r="L23" s="5">
        <v>2</v>
      </c>
      <c r="M23" s="5">
        <v>1</v>
      </c>
      <c r="N23" s="5">
        <v>1398</v>
      </c>
      <c r="O23" s="5" t="s">
        <v>77</v>
      </c>
      <c r="Q23" s="4"/>
      <c r="R23" s="23"/>
      <c r="T23" s="3"/>
      <c r="U23" s="5"/>
    </row>
    <row r="24" spans="1:21" ht="15.75" thickBot="1" x14ac:dyDescent="0.3">
      <c r="A24" s="3">
        <v>123</v>
      </c>
      <c r="B24" s="4">
        <v>45314</v>
      </c>
      <c r="C24" s="3">
        <v>123</v>
      </c>
      <c r="D24" s="4">
        <v>45314</v>
      </c>
      <c r="E24" s="3">
        <v>23</v>
      </c>
      <c r="F24" s="3" t="s">
        <v>78</v>
      </c>
      <c r="G24" s="3" t="s">
        <v>79</v>
      </c>
      <c r="H24" s="3">
        <v>23</v>
      </c>
      <c r="I24" s="3">
        <v>1</v>
      </c>
      <c r="J24" s="3">
        <v>4999</v>
      </c>
      <c r="K24" s="5">
        <v>4999</v>
      </c>
      <c r="L24" s="5">
        <v>1</v>
      </c>
      <c r="M24" s="5">
        <v>1</v>
      </c>
      <c r="N24" s="5">
        <v>4999</v>
      </c>
      <c r="O24" s="5" t="s">
        <v>16</v>
      </c>
      <c r="Q24" s="4"/>
      <c r="R24" s="23"/>
      <c r="T24" s="3"/>
      <c r="U24" s="5"/>
    </row>
    <row r="25" spans="1:21" ht="15.75" thickBot="1" x14ac:dyDescent="0.3">
      <c r="A25" s="3">
        <v>124</v>
      </c>
      <c r="B25" s="4">
        <v>45315</v>
      </c>
      <c r="C25" s="3">
        <v>124</v>
      </c>
      <c r="D25" s="4">
        <v>45315</v>
      </c>
      <c r="E25" s="3">
        <v>24</v>
      </c>
      <c r="F25" s="3" t="s">
        <v>80</v>
      </c>
      <c r="G25" s="3" t="s">
        <v>81</v>
      </c>
      <c r="H25" s="3">
        <v>24</v>
      </c>
      <c r="I25" s="3">
        <v>1</v>
      </c>
      <c r="J25" s="3">
        <v>2499</v>
      </c>
      <c r="K25" s="5">
        <v>2499</v>
      </c>
      <c r="L25" s="5">
        <v>4</v>
      </c>
      <c r="M25" s="5">
        <v>3</v>
      </c>
      <c r="N25" s="5">
        <v>833</v>
      </c>
      <c r="O25" s="5" t="s">
        <v>56</v>
      </c>
      <c r="Q25" s="4"/>
      <c r="R25" s="23"/>
      <c r="T25" s="3"/>
      <c r="U25" s="5"/>
    </row>
    <row r="26" spans="1:21" ht="15.75" thickBot="1" x14ac:dyDescent="0.3">
      <c r="A26" s="3">
        <v>125</v>
      </c>
      <c r="B26" s="4">
        <v>45316</v>
      </c>
      <c r="C26" s="3">
        <v>125</v>
      </c>
      <c r="D26" s="4">
        <v>45316</v>
      </c>
      <c r="E26" s="3">
        <v>25</v>
      </c>
      <c r="F26" s="3" t="s">
        <v>82</v>
      </c>
      <c r="G26" s="3" t="s">
        <v>83</v>
      </c>
      <c r="H26" s="3">
        <v>25</v>
      </c>
      <c r="I26" s="3">
        <v>1</v>
      </c>
      <c r="J26" s="3">
        <v>25999</v>
      </c>
      <c r="K26" s="5">
        <v>25999</v>
      </c>
      <c r="L26" s="5">
        <v>1</v>
      </c>
      <c r="M26" s="5">
        <v>1</v>
      </c>
      <c r="N26" s="5">
        <v>25999</v>
      </c>
      <c r="O26" s="5" t="s">
        <v>84</v>
      </c>
      <c r="Q26" s="4"/>
      <c r="R26" s="23"/>
      <c r="T26" s="3"/>
      <c r="U26" s="5"/>
    </row>
    <row r="27" spans="1:21" ht="15.75" thickBot="1" x14ac:dyDescent="0.3">
      <c r="A27" s="3">
        <v>126</v>
      </c>
      <c r="B27" s="4">
        <v>45317</v>
      </c>
      <c r="C27" s="3">
        <v>126</v>
      </c>
      <c r="D27" s="4">
        <v>45317</v>
      </c>
      <c r="E27" s="3">
        <v>26</v>
      </c>
      <c r="F27" s="3" t="s">
        <v>85</v>
      </c>
      <c r="G27" s="3" t="s">
        <v>36</v>
      </c>
      <c r="H27" s="3">
        <v>26</v>
      </c>
      <c r="I27" s="3">
        <v>2</v>
      </c>
      <c r="J27" s="3">
        <v>1799</v>
      </c>
      <c r="K27" s="5">
        <v>3598</v>
      </c>
      <c r="L27" s="5">
        <v>5</v>
      </c>
      <c r="M27" s="5">
        <v>3</v>
      </c>
      <c r="N27" s="5" t="s">
        <v>86</v>
      </c>
      <c r="O27" s="5" t="s">
        <v>87</v>
      </c>
      <c r="Q27" s="4"/>
      <c r="R27" s="23"/>
      <c r="T27" s="3"/>
      <c r="U27" s="5"/>
    </row>
    <row r="28" spans="1:21" ht="15.75" thickBot="1" x14ac:dyDescent="0.3">
      <c r="A28" s="3">
        <v>127</v>
      </c>
      <c r="B28" s="4">
        <v>45318</v>
      </c>
      <c r="C28" s="3">
        <v>127</v>
      </c>
      <c r="D28" s="4">
        <v>45318</v>
      </c>
      <c r="E28" s="3">
        <v>27</v>
      </c>
      <c r="F28" s="3" t="s">
        <v>88</v>
      </c>
      <c r="G28" s="3" t="s">
        <v>89</v>
      </c>
      <c r="H28" s="3">
        <v>27</v>
      </c>
      <c r="I28" s="3">
        <v>1</v>
      </c>
      <c r="J28" s="3">
        <v>899</v>
      </c>
      <c r="K28" s="5">
        <v>899</v>
      </c>
      <c r="L28" s="5">
        <v>1</v>
      </c>
      <c r="M28" s="5">
        <v>1</v>
      </c>
      <c r="N28" s="5">
        <v>899</v>
      </c>
      <c r="O28" s="5" t="s">
        <v>75</v>
      </c>
      <c r="Q28" s="4"/>
      <c r="R28" s="23"/>
      <c r="T28" s="3"/>
      <c r="U28" s="5"/>
    </row>
    <row r="29" spans="1:21" ht="15.75" thickBot="1" x14ac:dyDescent="0.3">
      <c r="A29" s="3">
        <v>128</v>
      </c>
      <c r="B29" s="4">
        <v>45319</v>
      </c>
      <c r="C29" s="3">
        <v>128</v>
      </c>
      <c r="D29" s="4">
        <v>45319</v>
      </c>
      <c r="E29" s="3">
        <v>28</v>
      </c>
      <c r="F29" s="3" t="s">
        <v>90</v>
      </c>
      <c r="G29" s="3" t="s">
        <v>91</v>
      </c>
      <c r="H29" s="3">
        <v>28</v>
      </c>
      <c r="I29" s="3">
        <v>2</v>
      </c>
      <c r="J29" s="3">
        <v>1299</v>
      </c>
      <c r="K29" s="5">
        <v>2598</v>
      </c>
      <c r="L29" s="5">
        <v>2</v>
      </c>
      <c r="M29" s="5">
        <v>1</v>
      </c>
      <c r="N29" s="5">
        <v>2598</v>
      </c>
      <c r="O29" s="5" t="s">
        <v>92</v>
      </c>
      <c r="Q29" s="4"/>
      <c r="R29" s="23"/>
      <c r="T29" s="3"/>
      <c r="U29" s="5"/>
    </row>
    <row r="30" spans="1:21" ht="15.75" thickBot="1" x14ac:dyDescent="0.3">
      <c r="A30" s="3">
        <v>129</v>
      </c>
      <c r="B30" s="4">
        <v>45320</v>
      </c>
      <c r="C30" s="3">
        <v>129</v>
      </c>
      <c r="D30" s="4">
        <v>45320</v>
      </c>
      <c r="E30" s="3">
        <v>29</v>
      </c>
      <c r="F30" s="3" t="s">
        <v>93</v>
      </c>
      <c r="G30" s="3" t="s">
        <v>43</v>
      </c>
      <c r="H30" s="3">
        <v>29</v>
      </c>
      <c r="I30" s="3">
        <v>1</v>
      </c>
      <c r="J30" s="3">
        <v>6499</v>
      </c>
      <c r="K30" s="5">
        <v>6499</v>
      </c>
      <c r="L30" s="5">
        <v>7</v>
      </c>
      <c r="M30" s="5">
        <v>5</v>
      </c>
      <c r="N30" s="5" t="s">
        <v>94</v>
      </c>
      <c r="O30" s="5" t="s">
        <v>95</v>
      </c>
      <c r="Q30" s="4"/>
      <c r="R30" s="23"/>
      <c r="T30" s="3"/>
      <c r="U30" s="5"/>
    </row>
    <row r="31" spans="1:21" ht="15.75" thickBot="1" x14ac:dyDescent="0.3">
      <c r="A31" s="3">
        <v>130</v>
      </c>
      <c r="B31" s="4">
        <v>45321</v>
      </c>
      <c r="C31" s="3">
        <v>130</v>
      </c>
      <c r="D31" s="4">
        <v>45321</v>
      </c>
      <c r="E31" s="3">
        <v>30</v>
      </c>
      <c r="F31" s="3" t="s">
        <v>96</v>
      </c>
      <c r="G31" s="3" t="s">
        <v>43</v>
      </c>
      <c r="H31" s="3">
        <v>30</v>
      </c>
      <c r="I31" s="3">
        <v>3</v>
      </c>
      <c r="J31" s="3">
        <v>299</v>
      </c>
      <c r="K31" s="5">
        <v>897</v>
      </c>
      <c r="L31" s="5">
        <v>6</v>
      </c>
      <c r="M31" s="5">
        <v>4</v>
      </c>
      <c r="N31" s="5" t="s">
        <v>97</v>
      </c>
      <c r="O31" s="5" t="s">
        <v>75</v>
      </c>
      <c r="Q31" s="4"/>
      <c r="R31" s="23"/>
      <c r="T31" s="3"/>
      <c r="U31" s="5"/>
    </row>
    <row r="32" spans="1:21" ht="15.75" thickBot="1" x14ac:dyDescent="0.3">
      <c r="A32" s="3">
        <v>131</v>
      </c>
      <c r="B32" s="4">
        <v>45323</v>
      </c>
      <c r="C32" s="3">
        <v>131</v>
      </c>
      <c r="D32" s="4">
        <v>45323</v>
      </c>
      <c r="E32" s="3">
        <v>31</v>
      </c>
      <c r="F32" s="3" t="s">
        <v>98</v>
      </c>
      <c r="G32" s="3" t="s">
        <v>14</v>
      </c>
      <c r="H32" s="3">
        <v>31</v>
      </c>
      <c r="I32" s="3">
        <v>1</v>
      </c>
      <c r="J32" s="3">
        <v>899</v>
      </c>
      <c r="K32" s="5">
        <v>899</v>
      </c>
      <c r="L32" s="5">
        <v>3</v>
      </c>
      <c r="M32" s="5">
        <v>2</v>
      </c>
      <c r="N32" s="5" t="s">
        <v>99</v>
      </c>
      <c r="O32" s="5" t="s">
        <v>75</v>
      </c>
      <c r="Q32" s="4"/>
      <c r="R32" s="23"/>
      <c r="T32" s="3"/>
      <c r="U32" s="5"/>
    </row>
    <row r="33" spans="1:21" ht="15.75" thickBot="1" x14ac:dyDescent="0.3">
      <c r="A33" s="3">
        <v>132</v>
      </c>
      <c r="B33" s="4">
        <v>45324</v>
      </c>
      <c r="C33" s="3">
        <v>132</v>
      </c>
      <c r="D33" s="4">
        <v>45324</v>
      </c>
      <c r="E33" s="3">
        <v>32</v>
      </c>
      <c r="F33" s="3" t="s">
        <v>100</v>
      </c>
      <c r="G33" s="3" t="s">
        <v>14</v>
      </c>
      <c r="H33" s="3">
        <v>32</v>
      </c>
      <c r="I33" s="3">
        <v>2</v>
      </c>
      <c r="J33" s="3">
        <v>499</v>
      </c>
      <c r="K33" s="5">
        <v>998</v>
      </c>
      <c r="L33" s="5">
        <v>2</v>
      </c>
      <c r="M33" s="5">
        <v>1</v>
      </c>
      <c r="N33" s="5">
        <v>998</v>
      </c>
      <c r="O33" s="5" t="s">
        <v>101</v>
      </c>
      <c r="Q33" s="4"/>
      <c r="R33" s="23"/>
      <c r="T33" s="3"/>
      <c r="U33" s="5"/>
    </row>
    <row r="34" spans="1:21" ht="15.75" thickBot="1" x14ac:dyDescent="0.3">
      <c r="A34" s="3">
        <v>133</v>
      </c>
      <c r="B34" s="4">
        <v>45325</v>
      </c>
      <c r="C34" s="3">
        <v>133</v>
      </c>
      <c r="D34" s="4">
        <v>45325</v>
      </c>
      <c r="E34" s="3">
        <v>33</v>
      </c>
      <c r="F34" s="3" t="s">
        <v>102</v>
      </c>
      <c r="G34" s="3" t="s">
        <v>26</v>
      </c>
      <c r="H34" s="3">
        <v>33</v>
      </c>
      <c r="I34" s="3">
        <v>1</v>
      </c>
      <c r="J34" s="3">
        <v>399</v>
      </c>
      <c r="K34" s="5">
        <v>3999</v>
      </c>
      <c r="L34" s="5">
        <v>3</v>
      </c>
      <c r="M34" s="5">
        <v>2</v>
      </c>
      <c r="N34" s="5" t="s">
        <v>103</v>
      </c>
      <c r="O34" s="5" t="s">
        <v>104</v>
      </c>
      <c r="Q34" s="4"/>
      <c r="R34" s="23"/>
      <c r="T34" s="3"/>
      <c r="U34" s="5"/>
    </row>
    <row r="35" spans="1:21" ht="15.75" thickBot="1" x14ac:dyDescent="0.3">
      <c r="A35" s="3">
        <v>134</v>
      </c>
      <c r="B35" s="4">
        <v>45326</v>
      </c>
      <c r="C35" s="3">
        <v>134</v>
      </c>
      <c r="D35" s="4">
        <v>45326</v>
      </c>
      <c r="E35" s="3">
        <v>34</v>
      </c>
      <c r="F35" s="3" t="s">
        <v>105</v>
      </c>
      <c r="G35" s="3" t="s">
        <v>26</v>
      </c>
      <c r="H35" s="3">
        <v>34</v>
      </c>
      <c r="I35" s="3">
        <v>2</v>
      </c>
      <c r="J35" s="3">
        <v>1299</v>
      </c>
      <c r="K35" s="5">
        <v>25098</v>
      </c>
      <c r="L35" s="5">
        <v>2</v>
      </c>
      <c r="M35" s="5">
        <v>1</v>
      </c>
      <c r="N35" s="5">
        <v>2598</v>
      </c>
      <c r="O35" s="5" t="s">
        <v>92</v>
      </c>
      <c r="Q35" s="4"/>
      <c r="R35" s="23"/>
      <c r="T35" s="3"/>
      <c r="U35" s="5"/>
    </row>
    <row r="36" spans="1:21" ht="15.75" thickBot="1" x14ac:dyDescent="0.3">
      <c r="A36" s="3">
        <v>135</v>
      </c>
      <c r="B36" s="4">
        <v>45327</v>
      </c>
      <c r="C36" s="3">
        <v>135</v>
      </c>
      <c r="D36" s="4">
        <v>45327</v>
      </c>
      <c r="E36" s="3">
        <v>35</v>
      </c>
      <c r="F36" s="3" t="s">
        <v>106</v>
      </c>
      <c r="G36" s="3" t="s">
        <v>36</v>
      </c>
      <c r="H36" s="3">
        <v>35</v>
      </c>
      <c r="I36" s="3">
        <v>1</v>
      </c>
      <c r="J36" s="3">
        <v>999</v>
      </c>
      <c r="K36" s="5">
        <v>999</v>
      </c>
      <c r="L36" s="5">
        <v>3</v>
      </c>
      <c r="M36" s="5">
        <v>2</v>
      </c>
      <c r="N36" s="5" t="s">
        <v>107</v>
      </c>
      <c r="O36" s="5" t="s">
        <v>101</v>
      </c>
      <c r="Q36" s="4"/>
      <c r="R36" s="23"/>
      <c r="T36" s="3"/>
      <c r="U36" s="5"/>
    </row>
    <row r="37" spans="1:21" ht="15.75" thickBot="1" x14ac:dyDescent="0.3">
      <c r="A37" s="3">
        <v>136</v>
      </c>
      <c r="B37" s="4">
        <v>45328</v>
      </c>
      <c r="C37" s="3">
        <v>136</v>
      </c>
      <c r="D37" s="4">
        <v>45328</v>
      </c>
      <c r="E37" s="3">
        <v>36</v>
      </c>
      <c r="F37" s="3" t="s">
        <v>108</v>
      </c>
      <c r="G37" s="3" t="s">
        <v>47</v>
      </c>
      <c r="H37" s="3">
        <v>36</v>
      </c>
      <c r="I37" s="3">
        <v>1</v>
      </c>
      <c r="J37" s="3">
        <v>2499</v>
      </c>
      <c r="K37" s="5">
        <v>2499</v>
      </c>
      <c r="L37" s="5">
        <v>1</v>
      </c>
      <c r="M37" s="5">
        <v>1</v>
      </c>
      <c r="N37" s="5">
        <v>2499</v>
      </c>
      <c r="O37" s="5" t="s">
        <v>56</v>
      </c>
      <c r="Q37" s="4"/>
      <c r="R37" s="23"/>
      <c r="T37" s="3"/>
      <c r="U37" s="5"/>
    </row>
    <row r="38" spans="1:21" ht="15.75" thickBot="1" x14ac:dyDescent="0.3">
      <c r="A38" s="3">
        <v>137</v>
      </c>
      <c r="B38" s="4">
        <v>45329</v>
      </c>
      <c r="C38" s="3">
        <v>137</v>
      </c>
      <c r="D38" s="4">
        <v>45329</v>
      </c>
      <c r="E38" s="3">
        <v>37</v>
      </c>
      <c r="F38" s="3" t="s">
        <v>109</v>
      </c>
      <c r="G38" s="3" t="s">
        <v>81</v>
      </c>
      <c r="H38" s="3">
        <v>37</v>
      </c>
      <c r="I38" s="3">
        <v>2</v>
      </c>
      <c r="J38" s="3">
        <v>3499</v>
      </c>
      <c r="K38" s="5">
        <v>6998</v>
      </c>
      <c r="L38" s="5">
        <v>3</v>
      </c>
      <c r="M38" s="5">
        <v>2</v>
      </c>
      <c r="N38" s="5">
        <v>3499</v>
      </c>
      <c r="O38" s="5" t="s">
        <v>34</v>
      </c>
      <c r="Q38" s="4"/>
      <c r="R38" s="23"/>
      <c r="T38" s="3"/>
      <c r="U38" s="5"/>
    </row>
    <row r="39" spans="1:21" ht="15.75" thickBot="1" x14ac:dyDescent="0.3">
      <c r="A39" s="3">
        <v>138</v>
      </c>
      <c r="B39" s="4">
        <v>45330</v>
      </c>
      <c r="C39" s="3">
        <v>138</v>
      </c>
      <c r="D39" s="4">
        <v>45330</v>
      </c>
      <c r="E39" s="3">
        <v>38</v>
      </c>
      <c r="F39" s="3" t="s">
        <v>110</v>
      </c>
      <c r="G39" s="3" t="s">
        <v>81</v>
      </c>
      <c r="H39" s="3">
        <v>38</v>
      </c>
      <c r="I39" s="3">
        <v>1</v>
      </c>
      <c r="J39" s="3">
        <v>399</v>
      </c>
      <c r="K39" s="5">
        <v>399</v>
      </c>
      <c r="L39" s="5">
        <v>1</v>
      </c>
      <c r="M39" s="5">
        <v>1</v>
      </c>
      <c r="N39" s="5">
        <v>399</v>
      </c>
      <c r="O39" s="5" t="s">
        <v>104</v>
      </c>
      <c r="Q39" s="4"/>
      <c r="R39" s="23"/>
      <c r="T39" s="3"/>
      <c r="U39" s="5"/>
    </row>
    <row r="40" spans="1:21" ht="15.75" thickBot="1" x14ac:dyDescent="0.3">
      <c r="A40" s="3">
        <v>139</v>
      </c>
      <c r="B40" s="4">
        <v>45331</v>
      </c>
      <c r="C40" s="3">
        <v>139</v>
      </c>
      <c r="D40" s="4">
        <v>45331</v>
      </c>
      <c r="E40" s="3">
        <v>39</v>
      </c>
      <c r="F40" s="3" t="s">
        <v>111</v>
      </c>
      <c r="G40" s="3" t="s">
        <v>36</v>
      </c>
      <c r="H40" s="3">
        <v>39</v>
      </c>
      <c r="I40" s="3">
        <v>2</v>
      </c>
      <c r="J40" s="3">
        <v>1199</v>
      </c>
      <c r="K40" s="5">
        <v>2398</v>
      </c>
      <c r="L40" s="5">
        <v>2</v>
      </c>
      <c r="M40" s="5">
        <v>1</v>
      </c>
      <c r="N40" s="5">
        <v>2398</v>
      </c>
      <c r="O40" s="5" t="s">
        <v>112</v>
      </c>
      <c r="Q40" s="4"/>
      <c r="R40" s="23"/>
      <c r="T40" s="3"/>
      <c r="U40" s="5"/>
    </row>
    <row r="41" spans="1:21" ht="15.75" thickBot="1" x14ac:dyDescent="0.3">
      <c r="A41" s="3">
        <v>140</v>
      </c>
      <c r="B41" s="4">
        <v>45332</v>
      </c>
      <c r="C41" s="3">
        <v>140</v>
      </c>
      <c r="D41" s="4">
        <v>45332</v>
      </c>
      <c r="E41" s="3">
        <v>40</v>
      </c>
      <c r="F41" s="3" t="s">
        <v>113</v>
      </c>
      <c r="G41" s="3" t="s">
        <v>43</v>
      </c>
      <c r="H41" s="3">
        <v>40</v>
      </c>
      <c r="I41" s="3">
        <v>1</v>
      </c>
      <c r="J41" s="3">
        <v>899</v>
      </c>
      <c r="K41" s="5">
        <v>899</v>
      </c>
      <c r="L41" s="5">
        <v>3</v>
      </c>
      <c r="M41" s="5">
        <v>3</v>
      </c>
      <c r="N41" s="5" t="s">
        <v>74</v>
      </c>
      <c r="O41" s="5" t="s">
        <v>75</v>
      </c>
      <c r="Q41" s="4"/>
      <c r="R41" s="23"/>
      <c r="T41" s="3"/>
      <c r="U41" s="5"/>
    </row>
    <row r="42" spans="1:21" ht="15.75" thickBot="1" x14ac:dyDescent="0.3">
      <c r="A42" s="3">
        <v>141</v>
      </c>
      <c r="B42" s="4">
        <v>45333</v>
      </c>
      <c r="C42" s="3">
        <v>141</v>
      </c>
      <c r="D42" s="4">
        <v>45333</v>
      </c>
      <c r="E42" s="3">
        <v>41</v>
      </c>
      <c r="F42" s="3" t="s">
        <v>114</v>
      </c>
      <c r="G42" s="3" t="s">
        <v>43</v>
      </c>
      <c r="H42" s="3">
        <v>41</v>
      </c>
      <c r="I42" s="3">
        <v>1</v>
      </c>
      <c r="J42" s="3">
        <v>4999</v>
      </c>
      <c r="K42" s="5">
        <v>4999</v>
      </c>
      <c r="L42" s="5">
        <v>2</v>
      </c>
      <c r="M42" s="5">
        <v>2</v>
      </c>
      <c r="N42" s="5" t="s">
        <v>115</v>
      </c>
      <c r="O42" s="5" t="s">
        <v>16</v>
      </c>
      <c r="Q42" s="4"/>
      <c r="R42" s="23"/>
      <c r="T42" s="3"/>
      <c r="U42" s="5"/>
    </row>
    <row r="43" spans="1:21" ht="15.75" thickBot="1" x14ac:dyDescent="0.3">
      <c r="A43" s="3">
        <v>142</v>
      </c>
      <c r="B43" s="4">
        <v>45334</v>
      </c>
      <c r="C43" s="3">
        <v>142</v>
      </c>
      <c r="D43" s="4">
        <v>45334</v>
      </c>
      <c r="E43" s="3">
        <v>42</v>
      </c>
      <c r="F43" s="3" t="s">
        <v>116</v>
      </c>
      <c r="G43" s="3" t="s">
        <v>117</v>
      </c>
      <c r="H43" s="3">
        <v>42</v>
      </c>
      <c r="I43" s="3">
        <v>2</v>
      </c>
      <c r="J43" s="3">
        <v>1999</v>
      </c>
      <c r="K43" s="5">
        <v>3998</v>
      </c>
      <c r="L43" s="5">
        <v>2</v>
      </c>
      <c r="M43" s="5">
        <v>1</v>
      </c>
      <c r="N43" s="5">
        <v>3998</v>
      </c>
      <c r="O43" s="5" t="s">
        <v>118</v>
      </c>
      <c r="Q43" s="4"/>
      <c r="R43" s="23"/>
      <c r="T43" s="3"/>
      <c r="U43" s="5"/>
    </row>
    <row r="44" spans="1:21" ht="15.75" thickBot="1" x14ac:dyDescent="0.3">
      <c r="A44" s="3">
        <v>143</v>
      </c>
      <c r="B44" s="4">
        <v>45335</v>
      </c>
      <c r="C44" s="3">
        <v>143</v>
      </c>
      <c r="D44" s="4">
        <v>45335</v>
      </c>
      <c r="E44" s="3">
        <v>43</v>
      </c>
      <c r="F44" s="3" t="s">
        <v>119</v>
      </c>
      <c r="G44" s="3" t="s">
        <v>43</v>
      </c>
      <c r="H44" s="3">
        <v>43</v>
      </c>
      <c r="I44" s="3">
        <v>1</v>
      </c>
      <c r="J44" s="3">
        <v>3499</v>
      </c>
      <c r="K44" s="5">
        <v>100000</v>
      </c>
      <c r="L44" s="5">
        <v>1</v>
      </c>
      <c r="M44" s="5">
        <v>1</v>
      </c>
      <c r="N44" s="5">
        <v>3499</v>
      </c>
      <c r="O44" s="5" t="s">
        <v>120</v>
      </c>
      <c r="Q44" s="4"/>
      <c r="R44" s="23"/>
      <c r="T44" s="3"/>
      <c r="U44" s="5"/>
    </row>
    <row r="45" spans="1:21" ht="15.75" thickBot="1" x14ac:dyDescent="0.3">
      <c r="A45" s="3">
        <v>144</v>
      </c>
      <c r="B45" s="4">
        <v>45336</v>
      </c>
      <c r="C45" s="3">
        <v>144</v>
      </c>
      <c r="D45" s="4">
        <v>45336</v>
      </c>
      <c r="E45" s="3">
        <v>44</v>
      </c>
      <c r="F45" s="3" t="s">
        <v>121</v>
      </c>
      <c r="G45" s="3" t="s">
        <v>122</v>
      </c>
      <c r="H45" s="3">
        <v>44</v>
      </c>
      <c r="I45" s="3">
        <v>1</v>
      </c>
      <c r="J45" s="3">
        <v>7999</v>
      </c>
      <c r="K45" s="5">
        <v>7999</v>
      </c>
      <c r="L45" s="5">
        <v>1</v>
      </c>
      <c r="M45" s="5">
        <v>1</v>
      </c>
      <c r="N45" s="5">
        <v>7999</v>
      </c>
      <c r="O45" s="5" t="s">
        <v>123</v>
      </c>
      <c r="Q45" s="4"/>
      <c r="R45" s="23"/>
      <c r="T45" s="3"/>
      <c r="U45" s="5"/>
    </row>
    <row r="46" spans="1:21" ht="30.75" thickBot="1" x14ac:dyDescent="0.3">
      <c r="A46" s="3">
        <v>145</v>
      </c>
      <c r="B46" s="4">
        <v>45337</v>
      </c>
      <c r="C46" s="3">
        <v>145</v>
      </c>
      <c r="D46" s="4">
        <v>45337</v>
      </c>
      <c r="E46" s="3">
        <v>45</v>
      </c>
      <c r="F46" s="3" t="s">
        <v>124</v>
      </c>
      <c r="G46" s="3" t="s">
        <v>125</v>
      </c>
      <c r="H46" s="3">
        <v>45</v>
      </c>
      <c r="I46" s="3">
        <v>1</v>
      </c>
      <c r="J46" s="3">
        <v>10999</v>
      </c>
      <c r="K46" s="5">
        <v>10999</v>
      </c>
      <c r="L46" s="5">
        <v>1</v>
      </c>
      <c r="M46" s="5">
        <v>1</v>
      </c>
      <c r="N46" s="5">
        <v>10999</v>
      </c>
      <c r="O46" s="5" t="s">
        <v>126</v>
      </c>
      <c r="Q46" s="4"/>
      <c r="R46" s="23"/>
      <c r="T46" s="3"/>
      <c r="U46" s="5"/>
    </row>
    <row r="47" spans="1:21" ht="15.75" thickBot="1" x14ac:dyDescent="0.3">
      <c r="A47" s="3">
        <v>146</v>
      </c>
      <c r="B47" s="4">
        <v>45338</v>
      </c>
      <c r="C47" s="3">
        <v>146</v>
      </c>
      <c r="D47" s="4">
        <v>45338</v>
      </c>
      <c r="E47" s="3">
        <v>46</v>
      </c>
      <c r="F47" s="3" t="s">
        <v>127</v>
      </c>
      <c r="G47" s="3" t="s">
        <v>128</v>
      </c>
      <c r="H47" s="3">
        <v>46</v>
      </c>
      <c r="I47" s="3">
        <v>2</v>
      </c>
      <c r="J47" s="3">
        <v>1499</v>
      </c>
      <c r="K47" s="5">
        <v>2998</v>
      </c>
      <c r="L47" s="5">
        <v>2</v>
      </c>
      <c r="M47" s="5">
        <v>1</v>
      </c>
      <c r="N47" s="5">
        <v>2998</v>
      </c>
      <c r="O47" s="5" t="s">
        <v>129</v>
      </c>
      <c r="Q47" s="4"/>
      <c r="R47" s="23"/>
      <c r="T47" s="3"/>
      <c r="U47" s="5"/>
    </row>
    <row r="48" spans="1:21" ht="15.75" thickBot="1" x14ac:dyDescent="0.3">
      <c r="A48" s="3">
        <v>147</v>
      </c>
      <c r="B48" s="4">
        <v>45339</v>
      </c>
      <c r="C48" s="3">
        <v>147</v>
      </c>
      <c r="D48" s="4">
        <v>45339</v>
      </c>
      <c r="E48" s="3">
        <v>47</v>
      </c>
      <c r="F48" s="3" t="s">
        <v>130</v>
      </c>
      <c r="G48" s="3" t="s">
        <v>131</v>
      </c>
      <c r="H48" s="3">
        <v>47</v>
      </c>
      <c r="I48" s="3">
        <v>3</v>
      </c>
      <c r="J48" s="3">
        <v>799</v>
      </c>
      <c r="K48" s="5">
        <v>2397</v>
      </c>
      <c r="L48" s="5">
        <v>3</v>
      </c>
      <c r="M48" s="5">
        <v>1</v>
      </c>
      <c r="N48" s="5">
        <v>2397</v>
      </c>
      <c r="O48" s="5" t="s">
        <v>112</v>
      </c>
      <c r="Q48" s="4"/>
      <c r="R48" s="23"/>
      <c r="T48" s="3"/>
      <c r="U48" s="5"/>
    </row>
    <row r="49" spans="1:21" ht="15.75" thickBot="1" x14ac:dyDescent="0.3">
      <c r="A49" s="3">
        <v>148</v>
      </c>
      <c r="B49" s="4">
        <v>45340</v>
      </c>
      <c r="C49" s="3">
        <v>148</v>
      </c>
      <c r="D49" s="4">
        <v>45340</v>
      </c>
      <c r="E49" s="3">
        <v>48</v>
      </c>
      <c r="F49" s="3" t="s">
        <v>132</v>
      </c>
      <c r="G49" s="3" t="s">
        <v>133</v>
      </c>
      <c r="H49" s="3">
        <v>48</v>
      </c>
      <c r="I49" s="3">
        <v>2</v>
      </c>
      <c r="J49" s="3">
        <v>399</v>
      </c>
      <c r="K49" s="5">
        <v>798</v>
      </c>
      <c r="L49" s="5">
        <v>2</v>
      </c>
      <c r="M49" s="5">
        <v>1</v>
      </c>
      <c r="N49" s="5">
        <v>798</v>
      </c>
      <c r="O49" s="5" t="s">
        <v>134</v>
      </c>
      <c r="Q49" s="4"/>
      <c r="R49" s="23"/>
      <c r="T49" s="3"/>
      <c r="U49" s="5"/>
    </row>
    <row r="50" spans="1:21" ht="15.75" thickBot="1" x14ac:dyDescent="0.3">
      <c r="A50" s="3">
        <v>149</v>
      </c>
      <c r="B50" s="4">
        <v>45341</v>
      </c>
      <c r="C50" s="3">
        <v>149</v>
      </c>
      <c r="D50" s="4">
        <v>45341</v>
      </c>
      <c r="E50" s="3">
        <v>49</v>
      </c>
      <c r="F50" s="3" t="s">
        <v>135</v>
      </c>
      <c r="G50" s="3" t="s">
        <v>136</v>
      </c>
      <c r="H50" s="3">
        <v>49</v>
      </c>
      <c r="I50" s="3">
        <v>1</v>
      </c>
      <c r="J50" s="3">
        <v>499</v>
      </c>
      <c r="K50" s="5">
        <v>499</v>
      </c>
      <c r="L50" s="5">
        <v>1</v>
      </c>
      <c r="M50" s="5">
        <v>1</v>
      </c>
      <c r="N50" s="5">
        <v>499</v>
      </c>
      <c r="O50" s="5" t="s">
        <v>137</v>
      </c>
      <c r="Q50" s="4"/>
      <c r="R50" s="23"/>
      <c r="T50" s="3"/>
      <c r="U50" s="5"/>
    </row>
    <row r="51" spans="1:21" ht="30.75" thickBot="1" x14ac:dyDescent="0.3">
      <c r="A51" s="3">
        <v>150</v>
      </c>
      <c r="B51" s="4">
        <v>45342</v>
      </c>
      <c r="C51" s="3">
        <v>150</v>
      </c>
      <c r="D51" s="4">
        <v>45342</v>
      </c>
      <c r="E51" s="3">
        <v>50</v>
      </c>
      <c r="F51" s="3" t="s">
        <v>138</v>
      </c>
      <c r="G51" s="3" t="s">
        <v>139</v>
      </c>
      <c r="H51" s="3">
        <v>50</v>
      </c>
      <c r="I51" s="3">
        <v>1</v>
      </c>
      <c r="J51" s="3">
        <v>999</v>
      </c>
      <c r="K51" s="5">
        <v>999</v>
      </c>
      <c r="L51" s="5">
        <v>1</v>
      </c>
      <c r="M51" s="5">
        <v>1</v>
      </c>
      <c r="N51" s="5">
        <v>999</v>
      </c>
      <c r="O51" s="5" t="s">
        <v>101</v>
      </c>
      <c r="Q51" s="4"/>
      <c r="R51" s="23"/>
      <c r="T51" s="3"/>
      <c r="U51" s="5"/>
    </row>
    <row r="52" spans="1:21" ht="15.75" thickBot="1" x14ac:dyDescent="0.3">
      <c r="A52" s="2"/>
      <c r="B52" s="2"/>
      <c r="C52" s="2"/>
      <c r="D52" s="2"/>
      <c r="E52" s="2"/>
      <c r="F52" s="2"/>
      <c r="G52" s="2"/>
      <c r="H52" s="2"/>
      <c r="I52" s="2"/>
      <c r="J52" s="2"/>
      <c r="K52" s="5">
        <f>SUBTOTAL(9,K6:K51)</f>
        <v>456786</v>
      </c>
      <c r="L52" s="2"/>
      <c r="M52" s="2"/>
      <c r="N52" s="2"/>
      <c r="O52" s="2"/>
    </row>
  </sheetData>
  <autoFilter ref="A1:O51"/>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X94"/>
  <sheetViews>
    <sheetView showGridLines="0" showRowColHeaders="0" tabSelected="1" topLeftCell="R61" zoomScale="57" zoomScaleNormal="57" workbookViewId="0">
      <selection activeCell="AW107" sqref="AW107"/>
    </sheetView>
  </sheetViews>
  <sheetFormatPr defaultRowHeight="15" x14ac:dyDescent="0.25"/>
  <cols>
    <col min="16" max="17" width="9.140625" customWidth="1"/>
  </cols>
  <sheetData>
    <row r="94" spans="24:24" ht="18.75" x14ac:dyDescent="0.3">
      <c r="X94" s="29"/>
    </row>
  </sheetData>
  <pageMargins left="0.7" right="0.7" top="0.75" bottom="0.75" header="0.3" footer="0.3"/>
  <pageSetup paperSize="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Sheet</vt:lpstr>
      <vt:lpstr>Pivot and chart</vt:lpstr>
      <vt:lpstr>Data sheet</vt: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ELCOT</dc:creator>
  <cp:lastModifiedBy>ELCOT</cp:lastModifiedBy>
  <cp:lastPrinted>2026-04-01T22:37:07Z</cp:lastPrinted>
  <dcterms:created xsi:type="dcterms:W3CDTF">2026-04-01T22:31:02Z</dcterms:created>
  <dcterms:modified xsi:type="dcterms:W3CDTF">2026-04-26T17:46:34Z</dcterms:modified>
</cp:coreProperties>
</file>